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Scenarios" sheetId="2" state="visible" r:id="rId4"/>
    <sheet name="Test Cases" sheetId="3" state="visible" r:id="rId5"/>
    <sheet name="Defects" sheetId="4" state="visible" r:id="rId6"/>
  </sheets>
  <definedNames>
    <definedName function="false" hidden="true" localSheetId="2" name="_xlnm._FilterDatabase" vbProcedure="false">'Test Cases'!$A$3:$L$53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<sst xmlns="http://schemas.openxmlformats.org/spreadsheetml/2006/main" count="722" uniqueCount="384">
  <si>
    <t xml:space="preserve">Magnus Application - Test Summary</t>
  </si>
  <si>
    <t xml:space="preserve">Prepared by: Sahithi Dasari   |   Application: https://magnus.jalatechnologies.com   |   Tool: Selenium WebDriver (Python + pytest)</t>
  </si>
  <si>
    <t xml:space="preserve">Item</t>
  </si>
  <si>
    <t xml:space="preserve">Count</t>
  </si>
  <si>
    <t xml:space="preserve">Total test scenarios</t>
  </si>
  <si>
    <t xml:space="preserve">Total test cases</t>
  </si>
  <si>
    <t xml:space="preserve">Automated test cases</t>
  </si>
  <si>
    <t xml:space="preserve">Manual test cases</t>
  </si>
  <si>
    <t xml:space="preserve">Passed</t>
  </si>
  <si>
    <t xml:space="preserve">Failed</t>
  </si>
  <si>
    <t xml:space="preserve">Blocked</t>
  </si>
  <si>
    <t xml:space="preserve">Not run yet</t>
  </si>
  <si>
    <t xml:space="preserve">Pass rate (of executed)</t>
  </si>
  <si>
    <t xml:space="preserve">Defects found</t>
  </si>
  <si>
    <t xml:space="preserve">Magnus Application - Test Scenarios</t>
  </si>
  <si>
    <t xml:space="preserve">Scenario ID</t>
  </si>
  <si>
    <t xml:space="preserve">Module</t>
  </si>
  <si>
    <t xml:space="preserve">Test Scenario</t>
  </si>
  <si>
    <t xml:space="preserve">Priority</t>
  </si>
  <si>
    <t xml:space="preserve">No. of Test Cases</t>
  </si>
  <si>
    <t xml:space="preserve">TS_01</t>
  </si>
  <si>
    <t xml:space="preserve">Login</t>
  </si>
  <si>
    <t xml:space="preserve">Verify login with valid and invalid credentials</t>
  </si>
  <si>
    <t xml:space="preserve">High</t>
  </si>
  <si>
    <t xml:space="preserve">TS_02</t>
  </si>
  <si>
    <t xml:space="preserve">Verify login page fields, validation messages and links</t>
  </si>
  <si>
    <t xml:space="preserve">Medium</t>
  </si>
  <si>
    <t xml:space="preserve">TS_03</t>
  </si>
  <si>
    <t xml:space="preserve">Verify logout</t>
  </si>
  <si>
    <t xml:space="preserve">TS_04</t>
  </si>
  <si>
    <t xml:space="preserve">Employee - Create</t>
  </si>
  <si>
    <t xml:space="preserve">Verify creating an employee with valid data</t>
  </si>
  <si>
    <t xml:space="preserve">TS_05</t>
  </si>
  <si>
    <t xml:space="preserve">Verify field validations on the Create Employee form</t>
  </si>
  <si>
    <t xml:space="preserve">TS_06</t>
  </si>
  <si>
    <t xml:space="preserve">Verify dropdowns, radio buttons, checkboxes and dependent fields</t>
  </si>
  <si>
    <t xml:space="preserve">TS_07</t>
  </si>
  <si>
    <t xml:space="preserve">Employee - Search</t>
  </si>
  <si>
    <t xml:space="preserve">Verify searching employees and the results grid</t>
  </si>
  <si>
    <t xml:space="preserve">TS_08</t>
  </si>
  <si>
    <t xml:space="preserve">Verify pagination, clear, add and delete actions</t>
  </si>
  <si>
    <t xml:space="preserve">TS_09</t>
  </si>
  <si>
    <t xml:space="preserve">More</t>
  </si>
  <si>
    <t xml:space="preserve">Verify Tabs, Menu, Autocomplete and Collapsible Content pages</t>
  </si>
  <si>
    <t xml:space="preserve">Low</t>
  </si>
  <si>
    <t xml:space="preserve">TS_10</t>
  </si>
  <si>
    <t xml:space="preserve">Verify Slider, Tooltips, Popups/Alerts and Links pages</t>
  </si>
  <si>
    <t xml:space="preserve">TS_11</t>
  </si>
  <si>
    <t xml:space="preserve">Verify iFrames, Images and CSS Properties pages</t>
  </si>
  <si>
    <t xml:space="preserve">TS_12</t>
  </si>
  <si>
    <t xml:space="preserve">Settings</t>
  </si>
  <si>
    <t xml:space="preserve">Verify Change Password field validations</t>
  </si>
  <si>
    <t xml:space="preserve">Magnus Application - Test Cases</t>
  </si>
  <si>
    <t xml:space="preserve">Legend: fill in the yellow columns (Actual Result, Status) after running each test. Status must be Pass / Fail / Blocked / Not Run. 'Automated Script' names the pytest test that covers the case.</t>
  </si>
  <si>
    <t xml:space="preserve">TC ID</t>
  </si>
  <si>
    <t xml:space="preserve">Test Case Title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</si>
  <si>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</si>
  <si>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</si>
  <si>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</si>
  <si>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</si>
  <si>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</si>
  <si>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</si>
  <si>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Automated Script</t>
  </si>
  <si>
    <t xml:space="preserve">TC_01</t>
  </si>
  <si>
    <t xml:space="preserve">Login with valid credentials</t>
  </si>
  <si>
    <t xml:space="preserve">User is on the login page</t>
  </si>
  <si>
    <t xml:space="preserve">1. Enter username
2. Enter password
3. Click Sign In</t>
  </si>
  <si>
    <t xml:space="preserve">training@jalaacademy.com / jobprogram</t>
  </si>
  <si>
    <t xml:space="preserve">Home page (/Home/Index) opens</t>
  </si>
  <si>
    <t xml:space="preserve">Not Run</t>
  </si>
  <si>
    <t xml:space="preserve">test_valid_login</t>
  </si>
  <si>
    <t xml:space="preserve">TC_02</t>
  </si>
  <si>
    <t xml:space="preserve">Login with wrong password</t>
  </si>
  <si>
    <t xml:space="preserve">1. Enter valid username
2. Enter wrong password
3. Click Sign In</t>
  </si>
  <si>
    <t xml:space="preserve">training@jalaacademy.com / wrongpassword</t>
  </si>
  <si>
    <t xml:space="preserve">Error message shown, user stays on login page</t>
  </si>
  <si>
    <t xml:space="preserve">test_invalid_password</t>
  </si>
  <si>
    <t xml:space="preserve">TC_03</t>
  </si>
  <si>
    <t xml:space="preserve">Login with unregistered username</t>
  </si>
  <si>
    <t xml:space="preserve">1. Enter unknown username
2. Enter password
3. Click Sign In</t>
  </si>
  <si>
    <t xml:space="preserve">nobody@test.com / jobprogram</t>
  </si>
  <si>
    <t xml:space="preserve">test_invalid_username</t>
  </si>
  <si>
    <t xml:space="preserve">TC_04</t>
  </si>
  <si>
    <t xml:space="preserve">Login is case sensitive for password</t>
  </si>
  <si>
    <t xml:space="preserve">1. Enter username in capitals
2. Enter password in capitals
3. Click Sign In</t>
  </si>
  <si>
    <t xml:space="preserve">TRAINING@JALAACADEMY.COM / JOBPROGRAM</t>
  </si>
  <si>
    <t xml:space="preserve">Login fails</t>
  </si>
  <si>
    <t xml:space="preserve">test_login_data_driven</t>
  </si>
  <si>
    <t xml:space="preserve">TC_05</t>
  </si>
  <si>
    <t xml:space="preserve">Login page title and field placeholders</t>
  </si>
  <si>
    <t xml:space="preserve">1. Open the login page
2. Check title and placeholders</t>
  </si>
  <si>
    <t xml:space="preserve">-</t>
  </si>
  <si>
    <t xml:space="preserve">Title 'Login'; placeholders 'Email or Mobile No' and 'Password'; password is masked</t>
  </si>
  <si>
    <t xml:space="preserve">test_login_page_title_and_fields</t>
  </si>
  <si>
    <t xml:space="preserve">TC_06</t>
  </si>
  <si>
    <t xml:space="preserve">Both fields empty</t>
  </si>
  <si>
    <t xml:space="preserve">1. Leave both fields empty
2. Click Sign In</t>
  </si>
  <si>
    <t xml:space="preserve">'Please enter email or mobile no.' and 'Please enter password.' shown</t>
  </si>
  <si>
    <t xml:space="preserve">test_empty_username_and_password</t>
  </si>
  <si>
    <t xml:space="preserve">TC_07</t>
  </si>
  <si>
    <t xml:space="preserve">Password empty</t>
  </si>
  <si>
    <t xml:space="preserve">1. Enter username only
2. Click Sign In</t>
  </si>
  <si>
    <t xml:space="preserve">training@jalaacademy.com</t>
  </si>
  <si>
    <t xml:space="preserve">'Please enter password.' shown</t>
  </si>
  <si>
    <t xml:space="preserve">test_empty_password_only</t>
  </si>
  <si>
    <t xml:space="preserve">TC_08</t>
  </si>
  <si>
    <t xml:space="preserve">Remember Me checkbox</t>
  </si>
  <si>
    <t xml:space="preserve">1. Click Remember Me</t>
  </si>
  <si>
    <t xml:space="preserve">Checkbox becomes checked</t>
  </si>
  <si>
    <t xml:space="preserve">test_remember_me_checkbox</t>
  </si>
  <si>
    <t xml:space="preserve">TC_09</t>
  </si>
  <si>
    <t xml:space="preserve">Forgot Password link</t>
  </si>
  <si>
    <t xml:space="preserve">1. Click Forgot Password</t>
  </si>
  <si>
    <t xml:space="preserve">Forgot Password page opens</t>
  </si>
  <si>
    <t xml:space="preserve">test_forgot_password_link</t>
  </si>
  <si>
    <t xml:space="preserve">TC_10</t>
  </si>
  <si>
    <t xml:space="preserve">Admin Login link</t>
  </si>
  <si>
    <t xml:space="preserve">1. Click Admin Login</t>
  </si>
  <si>
    <t xml:space="preserve">Admin Login page opens</t>
  </si>
  <si>
    <t xml:space="preserve">test_admin_login_link</t>
  </si>
  <si>
    <t xml:space="preserve">TC_11</t>
  </si>
  <si>
    <t xml:space="preserve">Logout</t>
  </si>
  <si>
    <t xml:space="preserve">User is logged in</t>
  </si>
  <si>
    <t xml:space="preserve">1. Click Logout</t>
  </si>
  <si>
    <t xml:space="preserve">Login page is shown</t>
  </si>
  <si>
    <t xml:space="preserve">test_logout</t>
  </si>
  <si>
    <t xml:space="preserve">TC_12</t>
  </si>
  <si>
    <t xml:space="preserve">Create page opens from menu</t>
  </si>
  <si>
    <t xml:space="preserve">1. Click Employee
2. Click Create</t>
  </si>
  <si>
    <t xml:space="preserve">Employee Create page opens</t>
  </si>
  <si>
    <t xml:space="preserve">test_create_page_opens_from_menu</t>
  </si>
  <si>
    <t xml:space="preserve">TC_13</t>
  </si>
  <si>
    <t xml:space="preserve">Create employee with all valid data</t>
  </si>
  <si>
    <t xml:space="preserve">User is logged in; on Employee Create</t>
  </si>
  <si>
    <t xml:space="preserve">1. Fill First/Last name, Email, Mobile
2. Select Gender, Country
3. Tick a skill
4. Click Save</t>
  </si>
  <si>
    <t xml:space="preserve">Jalatest / Sahithi / jalatest.sahithi@gmail.com / 9XXXXXXXXX / F / India / QA-Automation</t>
  </si>
  <si>
    <t xml:space="preserve">'Employee details saved successfully' shown; redirected to Search</t>
  </si>
  <si>
    <t xml:space="preserve">test_create_employee_success</t>
  </si>
  <si>
    <t xml:space="preserve">TC_14</t>
  </si>
  <si>
    <t xml:space="preserve">Saved employee appears in search</t>
  </si>
  <si>
    <t xml:space="preserve">1. Create an employee
2. Search by the new name</t>
  </si>
  <si>
    <t xml:space="preserve">Name used in previous case</t>
  </si>
  <si>
    <t xml:space="preserve">The new employee is listed in the grid</t>
  </si>
  <si>
    <t xml:space="preserve">(manual)</t>
  </si>
  <si>
    <t xml:space="preserve">TC_15</t>
  </si>
  <si>
    <t xml:space="preserve">Saved skills are kept after saving</t>
  </si>
  <si>
    <t xml:space="preserve">1. Create an employee with 2 skills ticked
2. Search and click Edit</t>
  </si>
  <si>
    <t xml:space="preserve">AWS, DevOps</t>
  </si>
  <si>
    <t xml:space="preserve">Both skills are still ticked on the Edit page</t>
  </si>
  <si>
    <t xml:space="preserve">(manual) - see defect DEF_01</t>
  </si>
  <si>
    <t xml:space="preserve">TC_16</t>
  </si>
  <si>
    <t xml:space="preserve">Required field messages</t>
  </si>
  <si>
    <t xml:space="preserve">1. Leave all fields empty
2. Click Save</t>
  </si>
  <si>
    <t xml:space="preserve">Messages for first name, last name, email and mobile number</t>
  </si>
  <si>
    <t xml:space="preserve">test_create_required_field_messages</t>
  </si>
  <si>
    <t xml:space="preserve">TC_17</t>
  </si>
  <si>
    <t xml:space="preserve">Invalid email format</t>
  </si>
  <si>
    <t xml:space="preserve">1. Enter invalid email
2. Fill other required fields
3. Click Save</t>
  </si>
  <si>
    <t xml:space="preserve">wrong-email</t>
  </si>
  <si>
    <t xml:space="preserve">'Please enter valid email address' shown</t>
  </si>
  <si>
    <t xml:space="preserve">test_create_invalid_email</t>
  </si>
  <si>
    <t xml:space="preserve">TC_18</t>
  </si>
  <si>
    <t xml:space="preserve">Mobile number less than 10 digits</t>
  </si>
  <si>
    <t xml:space="preserve">1. Enter 5-digit mobile
2. Click Save</t>
  </si>
  <si>
    <t xml:space="preserve">12345</t>
  </si>
  <si>
    <t xml:space="preserve">'Mobile No must be 10 digits.' shown</t>
  </si>
  <si>
    <t xml:space="preserve">test_create_mobile_must_be_10_digits</t>
  </si>
  <si>
    <t xml:space="preserve">TC_19</t>
  </si>
  <si>
    <t xml:space="preserve">Mobile number accepts letters?</t>
  </si>
  <si>
    <t xml:space="preserve">1. Enter letters in Mobile
2. Click Save</t>
  </si>
  <si>
    <t xml:space="preserve">abcdefghij</t>
  </si>
  <si>
    <t xml:space="preserve">Validation error - only digits allowed</t>
  </si>
  <si>
    <t xml:space="preserve">TC_20</t>
  </si>
  <si>
    <t xml:space="preserve">First name max length 20</t>
  </si>
  <si>
    <t xml:space="preserve">1. Type 30 characters in First Name</t>
  </si>
  <si>
    <t xml:space="preserve">AAAAAAAAAAAAAAAAAAAAAAAAAAAAAA</t>
  </si>
  <si>
    <t xml:space="preserve">Only 20 characters are accepted</t>
  </si>
  <si>
    <t xml:space="preserve">test_create_name_max_length_20</t>
  </si>
  <si>
    <t xml:space="preserve">TC_21</t>
  </si>
  <si>
    <t xml:space="preserve">Default values on the form</t>
  </si>
  <si>
    <t xml:space="preserve">1. Open the page and check defaults</t>
  </si>
  <si>
    <t xml:space="preserve">Male selected; Country '--Select Country--'; Other City box hidden</t>
  </si>
  <si>
    <t xml:space="preserve">test_create_page_default_values</t>
  </si>
  <si>
    <t xml:space="preserve">TC_22</t>
  </si>
  <si>
    <t xml:space="preserve">Country loads its cities</t>
  </si>
  <si>
    <t xml:space="preserve">1. Select a country
2. Open City dropdown</t>
  </si>
  <si>
    <t xml:space="preserve">India</t>
  </si>
  <si>
    <t xml:space="preserve">City dropdown lists cities of India</t>
  </si>
  <si>
    <t xml:space="preserve">test_country_loads_cities</t>
  </si>
  <si>
    <t xml:space="preserve">TC_23</t>
  </si>
  <si>
    <t xml:space="preserve">Other City checkbox</t>
  </si>
  <si>
    <t xml:space="preserve">1. Tick Other City</t>
  </si>
  <si>
    <t xml:space="preserve">Other City text box shown; City dropdown disabled</t>
  </si>
  <si>
    <t xml:space="preserve">test_other_city_checkbox</t>
  </si>
  <si>
    <t xml:space="preserve">TC_24</t>
  </si>
  <si>
    <t xml:space="preserve">Skill checkboxes listed</t>
  </si>
  <si>
    <t xml:space="preserve">1. Check the Skills section</t>
  </si>
  <si>
    <t xml:space="preserve">6 skills: AWS, DevOps, Full Stack Developer, Middleware, QA-Automation, WebServices</t>
  </si>
  <si>
    <t xml:space="preserve">test_skill_checkboxes_listed</t>
  </si>
  <si>
    <t xml:space="preserve">TC_25</t>
  </si>
  <si>
    <t xml:space="preserve">Cancel button</t>
  </si>
  <si>
    <t xml:space="preserve">1. Enter some data
2. Click Cancel</t>
  </si>
  <si>
    <t xml:space="preserve">Search page opens, nothing saved</t>
  </si>
  <si>
    <t xml:space="preserve">TC_26</t>
  </si>
  <si>
    <t xml:space="preserve">Search page opens from menu</t>
  </si>
  <si>
    <t xml:space="preserve">1. Click Employee
2. Click Search</t>
  </si>
  <si>
    <t xml:space="preserve">Employee Search page opens with the grid</t>
  </si>
  <si>
    <t xml:space="preserve">test_search_page_opens_from_menu</t>
  </si>
  <si>
    <t xml:space="preserve">TC_27</t>
  </si>
  <si>
    <t xml:space="preserve">Grid column headers</t>
  </si>
  <si>
    <t xml:space="preserve">User is logged in; on Employee Search</t>
  </si>
  <si>
    <t xml:space="preserve">1. Check the table headers</t>
  </si>
  <si>
    <t xml:space="preserve">First Name, Last Name, Mobile No, Email Id, Gender, Birth Date, Country, City, Action</t>
  </si>
  <si>
    <t xml:space="preserve">test_search_table_headers</t>
  </si>
  <si>
    <t xml:space="preserve">TC_28</t>
  </si>
  <si>
    <t xml:space="preserve">10 records per page</t>
  </si>
  <si>
    <t xml:space="preserve">1. Count rows on page 1</t>
  </si>
  <si>
    <t xml:space="preserve">10 rows shown</t>
  </si>
  <si>
    <t xml:space="preserve">test_search_shows_10_rows_per_page</t>
  </si>
  <si>
    <t xml:space="preserve">TC_29</t>
  </si>
  <si>
    <t xml:space="preserve">Search by name</t>
  </si>
  <si>
    <t xml:space="preserve">1. Enter a name
2. Click Search</t>
  </si>
  <si>
    <t xml:space="preserve">First name from row 1</t>
  </si>
  <si>
    <t xml:space="preserve">Only matching employees shown</t>
  </si>
  <si>
    <t xml:space="preserve">test_search_by_name</t>
  </si>
  <si>
    <t xml:space="preserve">TC_30</t>
  </si>
  <si>
    <t xml:space="preserve">Search by mobile number</t>
  </si>
  <si>
    <t xml:space="preserve">1. Enter a mobile number
2. Click Search</t>
  </si>
  <si>
    <t xml:space="preserve">Mobile from row 1</t>
  </si>
  <si>
    <t xml:space="preserve">Matching employee shown</t>
  </si>
  <si>
    <t xml:space="preserve">test_search_by_mobile</t>
  </si>
  <si>
    <t xml:space="preserve">TC_31</t>
  </si>
  <si>
    <t xml:space="preserve">Search with no match</t>
  </si>
  <si>
    <t xml:space="preserve">1. Enter a name that does not exist
2. Click Search</t>
  </si>
  <si>
    <t xml:space="preserve">zzqqxx_no_such_name</t>
  </si>
  <si>
    <t xml:space="preserve">No records / 'No data available' shown</t>
  </si>
  <si>
    <t xml:space="preserve">test_search_no_results</t>
  </si>
  <si>
    <t xml:space="preserve">TC_32</t>
  </si>
  <si>
    <t xml:space="preserve">Search by pressing Enter</t>
  </si>
  <si>
    <t xml:space="preserve">1. Type a name
2. Press Enter</t>
  </si>
  <si>
    <t xml:space="preserve">Any name</t>
  </si>
  <si>
    <t xml:space="preserve">Search runs without clicking the button</t>
  </si>
  <si>
    <t xml:space="preserve">ex5_misc_scenarios.py (actions)</t>
  </si>
  <si>
    <t xml:space="preserve">TC_33</t>
  </si>
  <si>
    <t xml:space="preserve">Clear button</t>
  </si>
  <si>
    <t xml:space="preserve">1. Type a name
2. Click Clear</t>
  </si>
  <si>
    <t xml:space="preserve">abc</t>
  </si>
  <si>
    <t xml:space="preserve">Search boxes emptied, full list shown</t>
  </si>
  <si>
    <t xml:space="preserve">test_clear_button</t>
  </si>
  <si>
    <t xml:space="preserve">TC_34</t>
  </si>
  <si>
    <t xml:space="preserve">Pagination Next</t>
  </si>
  <si>
    <t xml:space="preserve">1. Click Next</t>
  </si>
  <si>
    <t xml:space="preserve">Page 2 shows different employees</t>
  </si>
  <si>
    <t xml:space="preserve">test_pagination_next</t>
  </si>
  <si>
    <t xml:space="preserve">TC_35</t>
  </si>
  <si>
    <t xml:space="preserve">Add Employee button</t>
  </si>
  <si>
    <t xml:space="preserve">1. Click Add Employee</t>
  </si>
  <si>
    <t xml:space="preserve">test_add_employee_button</t>
  </si>
  <si>
    <t xml:space="preserve">TC_36</t>
  </si>
  <si>
    <t xml:space="preserve">Delete asks for confirmation</t>
  </si>
  <si>
    <t xml:space="preserve">1. Click Delete on a row
2. Click Cancel</t>
  </si>
  <si>
    <t xml:space="preserve">'Are you sure you want to delete?' popup; record NOT deleted after Cancel</t>
  </si>
  <si>
    <t xml:space="preserve">test_delete_asks_for_confirmation</t>
  </si>
  <si>
    <t xml:space="preserve">TC_37</t>
  </si>
  <si>
    <t xml:space="preserve">Multiple Tabs switch content</t>
  </si>
  <si>
    <t xml:space="preserve">1. Open More &gt; Multiple Tabs
2. Click 'UnLearning'</t>
  </si>
  <si>
    <t xml:space="preserve">UnLearning content shown, first tab hidden</t>
  </si>
  <si>
    <t xml:space="preserve">test_tabs_switch_content</t>
  </si>
  <si>
    <t xml:space="preserve">TC_38</t>
  </si>
  <si>
    <t xml:space="preserve">Single menu message</t>
  </si>
  <si>
    <t xml:space="preserve">1. Open More &gt; Menu
2. Click Java</t>
  </si>
  <si>
    <t xml:space="preserve">'You Have Selected Java Menu Option.'</t>
  </si>
  <si>
    <t xml:space="preserve">test_menu_single_option_message</t>
  </si>
  <si>
    <t xml:space="preserve">TC_39</t>
  </si>
  <si>
    <t xml:space="preserve">Sub menu on mouse hover</t>
  </si>
  <si>
    <t xml:space="preserve">1. Open Sub Menus tab
2. Hover JAVA
3. Click Spring</t>
  </si>
  <si>
    <t xml:space="preserve">Message mentions Spring</t>
  </si>
  <si>
    <t xml:space="preserve">test_menu_sub_menu_hover</t>
  </si>
  <si>
    <t xml:space="preserve">TC_40</t>
  </si>
  <si>
    <t xml:space="preserve">Autocomplete suggestions</t>
  </si>
  <si>
    <t xml:space="preserve">1. Open More &gt; Autocomplete
2. Type 'Py'</t>
  </si>
  <si>
    <t xml:space="preserve">Py</t>
  </si>
  <si>
    <t xml:space="preserve">'Python' appears in suggestions</t>
  </si>
  <si>
    <t xml:space="preserve">test_autocomplete_suggestions</t>
  </si>
  <si>
    <t xml:space="preserve">TC_41</t>
  </si>
  <si>
    <t xml:space="preserve">Collapsible panel expands</t>
  </si>
  <si>
    <t xml:space="preserve">1. Open More &gt; Collapsible Content
2. Click first heading</t>
  </si>
  <si>
    <t xml:space="preserve">Panel content expands</t>
  </si>
  <si>
    <t xml:space="preserve">test_collapse_expands_panel</t>
  </si>
  <si>
    <t xml:space="preserve">TC_42</t>
  </si>
  <si>
    <t xml:space="preserve">Slider value changes</t>
  </si>
  <si>
    <t xml:space="preserve">1. Open More &gt; Slider
2. Drag the handle</t>
  </si>
  <si>
    <t xml:space="preserve">Displayed value changes</t>
  </si>
  <si>
    <t xml:space="preserve">test_slider_drag_changes_value</t>
  </si>
  <si>
    <t xml:space="preserve">TC_43</t>
  </si>
  <si>
    <t xml:space="preserve">Tooltip text after click</t>
  </si>
  <si>
    <t xml:space="preserve">1. Open More &gt; Tooltips
2. Click the button</t>
  </si>
  <si>
    <t xml:space="preserve">Tooltip becomes 'Thank you for being here!'</t>
  </si>
  <si>
    <t xml:space="preserve">test_tooltip_text_changes_after_click</t>
  </si>
  <si>
    <t xml:space="preserve">TC_44</t>
  </si>
  <si>
    <t xml:space="preserve">Alert box</t>
  </si>
  <si>
    <t xml:space="preserve">1. Open More &gt; Popups
2. Click Alert Box
3. Click OK</t>
  </si>
  <si>
    <t xml:space="preserve">Alert 'This is an alert Box!' shown and closes</t>
  </si>
  <si>
    <t xml:space="preserve">test_alert_box</t>
  </si>
  <si>
    <t xml:space="preserve">TC_45</t>
  </si>
  <si>
    <t xml:space="preserve">Prompt box</t>
  </si>
  <si>
    <t xml:space="preserve">1. Click Prompt Box
2. Type a name
3. Click OK</t>
  </si>
  <si>
    <t xml:space="preserve">Sahithi</t>
  </si>
  <si>
    <t xml:space="preserve">Entered name shown on the page</t>
  </si>
  <si>
    <t xml:space="preserve">test_prompt_box</t>
  </si>
  <si>
    <t xml:space="preserve">TC_46</t>
  </si>
  <si>
    <t xml:space="preserve">Broken links detected</t>
  </si>
  <si>
    <t xml:space="preserve">1. Open More &gt; Links
2. Check each link's HTTP status</t>
  </si>
  <si>
    <t xml:space="preserve">Broken Links tab links return errors; working links return 200</t>
  </si>
  <si>
    <t xml:space="preserve">ex5_misc_scenarios.py (broken_links)</t>
  </si>
  <si>
    <t xml:space="preserve">TC_47</t>
  </si>
  <si>
    <t xml:space="preserve">iFrame Two shows Magnus home</t>
  </si>
  <si>
    <t xml:space="preserve">1. Open More &gt; iFrames
2. Switch to Frame Two</t>
  </si>
  <si>
    <t xml:space="preserve">Magnus menu visible inside the frame</t>
  </si>
  <si>
    <t xml:space="preserve">test_iframe_two_shows_home_page</t>
  </si>
  <si>
    <t xml:space="preserve">TC_48</t>
  </si>
  <si>
    <t xml:space="preserve">Upload only image files</t>
  </si>
  <si>
    <t xml:space="preserve">1. Open More &gt; Images
2. Choose a .txt file</t>
  </si>
  <si>
    <t xml:space="preserve">notes.txt</t>
  </si>
  <si>
    <t xml:space="preserve">Error: only jpg, jpeg, png, gif or bmp allowed</t>
  </si>
  <si>
    <t xml:space="preserve">TC_49</t>
  </si>
  <si>
    <t xml:space="preserve">Change Password - empty fields</t>
  </si>
  <si>
    <t xml:space="preserve">1. Open Settings &gt; Change Password
2. Click Change Password</t>
  </si>
  <si>
    <t xml:space="preserve">Required messages for old, new and confirm password</t>
  </si>
  <si>
    <t xml:space="preserve">TC_50</t>
  </si>
  <si>
    <t xml:space="preserve">Change Password - confirm does not match</t>
  </si>
  <si>
    <t xml:space="preserve">1. Enter old password
2. Enter different new and confirm values
3. Click Change Password</t>
  </si>
  <si>
    <t xml:space="preserve">new: Abc@1234 / confirm: Xyz@1234</t>
  </si>
  <si>
    <t xml:space="preserve">'Confirm password and password must be same.' Do NOT submit a valid change - it is a shared account</t>
  </si>
  <si>
    <t xml:space="preserve">Magnus Application - Defects found (log these in JIRA)</t>
  </si>
  <si>
    <t xml:space="preserve">Verify each defect in the browser before logging it. 'Verify first' = found in the page code; confirm it happens on screen.</t>
  </si>
  <si>
    <t xml:space="preserve">Defect ID</t>
  </si>
  <si>
    <t xml:space="preserve">Summary</t>
  </si>
  <si>
    <t xml:space="preserve">Severity</t>
  </si>
  <si>
    <t xml:space="preserve">Steps to Reproduce</t>
  </si>
  <si>
    <t xml:space="preserve">Related TC</t>
  </si>
  <si>
    <t xml:space="preserve">Note</t>
  </si>
  <si>
    <t xml:space="preserve">DEF_01</t>
  </si>
  <si>
    <t xml:space="preserve">Selected skills are not saved when creating an employee</t>
  </si>
  <si>
    <t xml:space="preserve">Major</t>
  </si>
  <si>
    <t xml:space="preserve">1. Login
2. Employee &gt; Create
3. Fill all required fields
4. Tick 'AWS' and 'DevOps'
5. Click Save
6. Search the employee and click Edit</t>
  </si>
  <si>
    <t xml:space="preserve">The ticked skills are saved and shown as ticked on Edit</t>
  </si>
  <si>
    <t xml:space="preserve">Skills are not ticked on Edit. The save code selects checkboxes with class exactly 'chkSkill', but the checkboxes have class 'chkSkill m-r-sm', so no skills are sent</t>
  </si>
  <si>
    <t xml:space="preserve">New</t>
  </si>
  <si>
    <t xml:space="preserve">Verify first</t>
  </si>
  <si>
    <t xml:space="preserve">DEF_02</t>
  </si>
  <si>
    <t xml:space="preserve">'Home' breadcrumb on Menu and Autocomplete pages does not go to Home</t>
  </si>
  <si>
    <t xml:space="preserve">Minor</t>
  </si>
  <si>
    <t xml:space="preserve">1. Login
2. More &gt; Menu
3. Click 'Home' in the breadcrumb (top right)
4. Repeat on More &gt; Autocomplete</t>
  </si>
  <si>
    <t xml:space="preserve">Link points to /Home/Menu, so the Menu page opens instead</t>
  </si>
  <si>
    <t xml:space="preserve">Seen in page code</t>
  </si>
  <si>
    <t xml:space="preserve">DEF_03</t>
  </si>
  <si>
    <t xml:space="preserve">Sign In button text changes to 'Login' after a failed login</t>
  </si>
  <si>
    <t xml:space="preserve">Trivial</t>
  </si>
  <si>
    <t xml:space="preserve">1. Open the login page
2. Enter a wrong password
3. Click Sign In
4. Look at the button text</t>
  </si>
  <si>
    <t xml:space="preserve">Button still says 'Sign In'</t>
  </si>
  <si>
    <t xml:space="preserve">Button text changes to 'Login'</t>
  </si>
  <si>
    <t xml:space="preserve">DEF_04</t>
  </si>
  <si>
    <t xml:space="preserve">Spelling mistake 'Skiils' on Employee Create page</t>
  </si>
  <si>
    <t xml:space="preserve">1. Login
2. Employee &gt; Create
3. Look at the heading above the skill checkboxes</t>
  </si>
  <si>
    <t xml:space="preserve">Heading reads 'Skills'</t>
  </si>
  <si>
    <t xml:space="preserve">Heading reads 'Skiils'</t>
  </si>
  <si>
    <t xml:space="preserve">DEF_05</t>
  </si>
  <si>
    <t xml:space="preserve">Spelling mistake 'charcters' in validation messages</t>
  </si>
  <si>
    <t xml:space="preserve">1. Login
2. Employee &gt; Create
3. Trigger the max-length message for First Name, Last Name or Other City</t>
  </si>
  <si>
    <t xml:space="preserve">Message reads '...less than 20 characters.'</t>
  </si>
  <si>
    <t xml:space="preserve">Message reads '...less than 20 charcters.'</t>
  </si>
  <si>
    <t xml:space="preserve">DEF_06</t>
  </si>
  <si>
    <t xml:space="preserve">Frame One and Frame Three are blank on the iFrames page</t>
  </si>
  <si>
    <t xml:space="preserve">1. Login
2. More &gt; iFrames
3. Look at Frame One and Frame Three</t>
  </si>
  <si>
    <t xml:space="preserve">All three frames show their content</t>
  </si>
  <si>
    <t xml:space="preserve">Frames load http:// pages inside an https:// page, which browsers block (mixed content)</t>
  </si>
  <si>
    <t xml:space="preserve">Extra - verify first</t>
  </si>
  <si>
    <t xml:space="preserve">DEF_07</t>
  </si>
  <si>
    <t xml:space="preserve">Spelling mistake 'Chose the right mentor' on Collapsible Content</t>
  </si>
  <si>
    <t xml:space="preserve">1. Login
2. More &gt; Collapsible Content
3. Read the third heading</t>
  </si>
  <si>
    <t xml:space="preserve">'Choose the right mentor...'</t>
  </si>
  <si>
    <t xml:space="preserve">'Chose the right mentor...'</t>
  </si>
  <si>
    <t xml:space="preserve">Extra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</si>
</sst>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C72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3C7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C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COUNTA('Test Scenarios'!A4:A15)</f>
        <v>12</v>
      </c>
    </row>
    <row r="6" customFormat="false" ht="15" hidden="false" customHeight="false" outlineLevel="0" collapsed="false">
      <c r="A6" s="4" t="s">
        <v>5</v>
      </c>
      <c r="B6" s="4" t="n">
        <f aca="false">COUNTA('Test Cases'!A4:A53)</f>
        <v>50</v>
      </c>
    </row>
    <row r="7" customFormat="false" ht="15" hidden="false" customHeight="false" outlineLevel="0" collapsed="false">
      <c r="A7" s="4" t="s">
        <v>6</v>
      </c>
      <c r="B7" s="4" t="n">
        <f aca="false">COUNTA('Test Cases'!L4:L53)-COUNTIF('Test Cases'!L4:L53,"(manual)*")</f>
        <v>43</v>
      </c>
    </row>
    <row r="8" customFormat="false" ht="15" hidden="false" customHeight="false" outlineLevel="0" collapsed="false">
      <c r="A8" s="4" t="s">
        <v>7</v>
      </c>
      <c r="B8" s="4" t="n">
        <f aca="false">COUNTIF('Test Cases'!L4:L53,"(manual)*")</f>
        <v>7</v>
      </c>
    </row>
    <row r="9" customFormat="false" ht="15" hidden="false" customHeight="false" outlineLevel="0" collapsed="false">
      <c r="A9" s="4" t="s">
        <v>8</v>
      </c>
      <c r="B9" s="4" t="n">
        <f aca="false">COUNTIF('Test Cases'!$J$4:$J$53,"Pass")</f>
        <v>0</v>
      </c>
    </row>
    <row r="10" customFormat="false" ht="15" hidden="false" customHeight="false" outlineLevel="0" collapsed="false">
      <c r="A10" s="4" t="s">
        <v>9</v>
      </c>
      <c r="B10" s="4" t="n">
        <f aca="false">COUNTIF('Test Cases'!$J$4:$J$53,"Fail")</f>
        <v>0</v>
      </c>
    </row>
    <row r="11" customFormat="false" ht="15" hidden="false" customHeight="false" outlineLevel="0" collapsed="false">
      <c r="A11" s="4" t="s">
        <v>10</v>
      </c>
      <c r="B11" s="4" t="n">
        <f aca="false">COUNTIF('Test Cases'!$J$4:$J$53,"Blocked")</f>
        <v>0</v>
      </c>
    </row>
    <row r="12" customFormat="false" ht="15" hidden="false" customHeight="false" outlineLevel="0" collapsed="false">
      <c r="A12" s="4" t="s">
        <v>11</v>
      </c>
      <c r="B12" s="4" t="n">
        <f aca="false">COUNTIF('Test Cases'!$J$4:$J$53,"Not Run")</f>
        <v>50</v>
      </c>
    </row>
    <row r="13" customFormat="false" ht="15" hidden="false" customHeight="false" outlineLevel="0" collapsed="false">
      <c r="A13" s="4" t="s">
        <v>12</v>
      </c>
      <c r="B13" s="5" t="n">
        <f aca="false">IFERROR(B9/(B9+B10+B11),0)</f>
        <v>0</v>
      </c>
    </row>
    <row r="14" customFormat="false" ht="15" hidden="false" customHeight="false" outlineLevel="0" collapsed="false">
      <c r="A14" s="4" t="s">
        <v>13</v>
      </c>
      <c r="B14" s="4" t="n">
        <f aca="false">COUNTA(Defects!A4:A20)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14</v>
      </c>
    </row>
    <row r="3" customFormat="false" ht="26.8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</row>
    <row r="4" customFormat="false" ht="15" hidden="false" customHeight="false" outlineLevel="0" collapsed="false">
      <c r="A4" s="4" t="s">
        <v>20</v>
      </c>
      <c r="B4" s="4" t="s">
        <v>21</v>
      </c>
      <c r="C4" s="4" t="s">
        <v>22</v>
      </c>
      <c r="D4" s="4" t="s">
        <v>23</v>
      </c>
      <c r="E4" s="4" t="n">
        <f aca="false">COUNTIF('Test Cases'!$C:$C,A4)</f>
        <v>4</v>
      </c>
    </row>
    <row r="5" customFormat="false" ht="15" hidden="false" customHeight="false" outlineLevel="0" collapsed="false">
      <c r="A5" s="4" t="s">
        <v>24</v>
      </c>
      <c r="B5" s="4" t="s">
        <v>21</v>
      </c>
      <c r="C5" s="4" t="s">
        <v>25</v>
      </c>
      <c r="D5" s="4" t="s">
        <v>26</v>
      </c>
      <c r="E5" s="4" t="n">
        <f aca="false">COUNTIF('Test Cases'!$C:$C,A5)</f>
        <v>6</v>
      </c>
    </row>
    <row r="6" customFormat="false" ht="15" hidden="false" customHeight="false" outlineLevel="0" collapsed="false">
      <c r="A6" s="4" t="s">
        <v>27</v>
      </c>
      <c r="B6" s="4" t="s">
        <v>21</v>
      </c>
      <c r="C6" s="4" t="s">
        <v>28</v>
      </c>
      <c r="D6" s="4" t="s">
        <v>23</v>
      </c>
      <c r="E6" s="4" t="n">
        <f aca="false">COUNTIF('Test Cases'!$C:$C,A6)</f>
        <v>1</v>
      </c>
    </row>
    <row r="7" customFormat="false" ht="15" hidden="false" customHeight="false" outlineLevel="0" collapsed="false">
      <c r="A7" s="4" t="s">
        <v>29</v>
      </c>
      <c r="B7" s="4" t="s">
        <v>30</v>
      </c>
      <c r="C7" s="4" t="s">
        <v>31</v>
      </c>
      <c r="D7" s="4" t="s">
        <v>23</v>
      </c>
      <c r="E7" s="4" t="n">
        <f aca="false">COUNTIF('Test Cases'!$C:$C,A7)</f>
        <v>4</v>
      </c>
    </row>
    <row r="8" customFormat="false" ht="15" hidden="false" customHeight="false" outlineLevel="0" collapsed="false">
      <c r="A8" s="4" t="s">
        <v>32</v>
      </c>
      <c r="B8" s="4" t="s">
        <v>30</v>
      </c>
      <c r="C8" s="4" t="s">
        <v>33</v>
      </c>
      <c r="D8" s="4" t="s">
        <v>23</v>
      </c>
      <c r="E8" s="4" t="n">
        <f aca="false">COUNTIF('Test Cases'!$C:$C,A8)</f>
        <v>5</v>
      </c>
    </row>
    <row r="9" customFormat="false" ht="15" hidden="false" customHeight="false" outlineLevel="0" collapsed="false">
      <c r="A9" s="4" t="s">
        <v>34</v>
      </c>
      <c r="B9" s="4" t="s">
        <v>30</v>
      </c>
      <c r="C9" s="4" t="s">
        <v>35</v>
      </c>
      <c r="D9" s="4" t="s">
        <v>26</v>
      </c>
      <c r="E9" s="4" t="n">
        <f aca="false">COUNTIF('Test Cases'!$C:$C,A9)</f>
        <v>5</v>
      </c>
    </row>
    <row r="10" customFormat="false" ht="15" hidden="false" customHeight="false" outlineLevel="0" collapsed="false">
      <c r="A10" s="4" t="s">
        <v>36</v>
      </c>
      <c r="B10" s="4" t="s">
        <v>37</v>
      </c>
      <c r="C10" s="4" t="s">
        <v>38</v>
      </c>
      <c r="D10" s="4" t="s">
        <v>23</v>
      </c>
      <c r="E10" s="4" t="n">
        <f aca="false">COUNTIF('Test Cases'!$C:$C,A10)</f>
        <v>7</v>
      </c>
    </row>
    <row r="11" customFormat="false" ht="15" hidden="false" customHeight="false" outlineLevel="0" collapsed="false">
      <c r="A11" s="4" t="s">
        <v>39</v>
      </c>
      <c r="B11" s="4" t="s">
        <v>37</v>
      </c>
      <c r="C11" s="4" t="s">
        <v>40</v>
      </c>
      <c r="D11" s="4" t="s">
        <v>26</v>
      </c>
      <c r="E11" s="4" t="n">
        <f aca="false">COUNTIF('Test Cases'!$C:$C,A11)</f>
        <v>4</v>
      </c>
    </row>
    <row r="12" customFormat="false" ht="15" hidden="false" customHeight="false" outlineLevel="0" collapsed="false">
      <c r="A12" s="4" t="s">
        <v>41</v>
      </c>
      <c r="B12" s="4" t="s">
        <v>42</v>
      </c>
      <c r="C12" s="4" t="s">
        <v>43</v>
      </c>
      <c r="D12" s="4" t="s">
        <v>44</v>
      </c>
      <c r="E12" s="4" t="n">
        <f aca="false">COUNTIF('Test Cases'!$C:$C,A12)</f>
        <v>5</v>
      </c>
    </row>
    <row r="13" customFormat="false" ht="15" hidden="false" customHeight="false" outlineLevel="0" collapsed="false">
      <c r="A13" s="4" t="s">
        <v>45</v>
      </c>
      <c r="B13" s="4" t="s">
        <v>42</v>
      </c>
      <c r="C13" s="4" t="s">
        <v>46</v>
      </c>
      <c r="D13" s="4" t="s">
        <v>26</v>
      </c>
      <c r="E13" s="4" t="n">
        <f aca="false">COUNTIF('Test Cases'!$C:$C,A13)</f>
        <v>5</v>
      </c>
    </row>
    <row r="14" customFormat="false" ht="15" hidden="false" customHeight="false" outlineLevel="0" collapsed="false">
      <c r="A14" s="4" t="s">
        <v>47</v>
      </c>
      <c r="B14" s="4" t="s">
        <v>42</v>
      </c>
      <c r="C14" s="4" t="s">
        <v>48</v>
      </c>
      <c r="D14" s="4" t="s">
        <v>44</v>
      </c>
      <c r="E14" s="4" t="n">
        <f aca="false">COUNTIF('Test Cases'!$C:$C,A14)</f>
        <v>2</v>
      </c>
    </row>
    <row r="15" customFormat="false" ht="15" hidden="false" customHeight="false" outlineLevel="0" collapsed="false">
      <c r="A15" s="4" t="s">
        <v>49</v>
      </c>
      <c r="B15" s="4" t="s">
        <v>50</v>
      </c>
      <c r="C15" s="4" t="s">
        <v>51</v>
      </c>
      <c r="D15" s="4" t="s">
        <v>26</v>
      </c>
      <c r="E15" s="4" t="n">
        <f aca="false">COUNTIF('Test Cases'!$C:$C,A15)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42"/>
    <col collapsed="false" customWidth="true" hidden="false" outlineLevel="0" max="7" min="7" style="0" width="26"/>
    <col collapsed="false" customWidth="true" hidden="false" outlineLevel="0" max="8" min="8" style="0" width="38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32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6" t="s">
        <v>53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26.85" hidden="false" customHeight="false" outlineLevel="0" collapsed="false">
      <c r="A3" s="3" t="s">
        <v>54</v>
      </c>
      <c r="B3" s="3" t="s">
        <v>16</v>
      </c>
      <c r="C3" s="3" t="s">
        <v>15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18</v>
      </c>
      <c r="L3" s="3" t="s">
        <v>62</v>
      </c>
    </row>
    <row r="4" customFormat="false" ht="35.05" hidden="false" customHeight="false" outlineLevel="0" collapsed="false">
      <c r="A4" s="4" t="s">
        <v>63</v>
      </c>
      <c r="B4" s="4" t="s">
        <v>21</v>
      </c>
      <c r="C4" s="4" t="s">
        <v>20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7"/>
      <c r="J4" s="7" t="s">
        <v>69</v>
      </c>
      <c r="K4" s="4" t="s">
        <v>23</v>
      </c>
      <c r="L4" s="4" t="s">
        <v>70</v>
      </c>
    </row>
    <row r="5" customFormat="false" ht="35.05" hidden="false" customHeight="false" outlineLevel="0" collapsed="false">
      <c r="A5" s="4" t="s">
        <v>71</v>
      </c>
      <c r="B5" s="4" t="s">
        <v>21</v>
      </c>
      <c r="C5" s="4" t="s">
        <v>20</v>
      </c>
      <c r="D5" s="4" t="s">
        <v>72</v>
      </c>
      <c r="E5" s="4" t="s">
        <v>65</v>
      </c>
      <c r="F5" s="4" t="s">
        <v>73</v>
      </c>
      <c r="G5" s="4" t="s">
        <v>74</v>
      </c>
      <c r="H5" s="4" t="s">
        <v>75</v>
      </c>
      <c r="I5" s="7"/>
      <c r="J5" s="7" t="s">
        <v>69</v>
      </c>
      <c r="K5" s="4" t="s">
        <v>23</v>
      </c>
      <c r="L5" s="4" t="s">
        <v>76</v>
      </c>
    </row>
    <row r="6" customFormat="false" ht="35.05" hidden="false" customHeight="false" outlineLevel="0" collapsed="false">
      <c r="A6" s="4" t="s">
        <v>77</v>
      </c>
      <c r="B6" s="4" t="s">
        <v>21</v>
      </c>
      <c r="C6" s="4" t="s">
        <v>20</v>
      </c>
      <c r="D6" s="4" t="s">
        <v>78</v>
      </c>
      <c r="E6" s="4" t="s">
        <v>65</v>
      </c>
      <c r="F6" s="4" t="s">
        <v>79</v>
      </c>
      <c r="G6" s="4" t="s">
        <v>80</v>
      </c>
      <c r="H6" s="4" t="s">
        <v>75</v>
      </c>
      <c r="I6" s="7"/>
      <c r="J6" s="7" t="s">
        <v>69</v>
      </c>
      <c r="K6" s="4" t="s">
        <v>23</v>
      </c>
      <c r="L6" s="4" t="s">
        <v>81</v>
      </c>
    </row>
    <row r="7" customFormat="false" ht="35.05" hidden="false" customHeight="false" outlineLevel="0" collapsed="false">
      <c r="A7" s="4" t="s">
        <v>82</v>
      </c>
      <c r="B7" s="4" t="s">
        <v>21</v>
      </c>
      <c r="C7" s="4" t="s">
        <v>20</v>
      </c>
      <c r="D7" s="4" t="s">
        <v>83</v>
      </c>
      <c r="E7" s="4" t="s">
        <v>65</v>
      </c>
      <c r="F7" s="4" t="s">
        <v>84</v>
      </c>
      <c r="G7" s="4" t="s">
        <v>85</v>
      </c>
      <c r="H7" s="4" t="s">
        <v>86</v>
      </c>
      <c r="I7" s="7"/>
      <c r="J7" s="7" t="s">
        <v>69</v>
      </c>
      <c r="K7" s="4" t="s">
        <v>26</v>
      </c>
      <c r="L7" s="4" t="s">
        <v>87</v>
      </c>
    </row>
    <row r="8" customFormat="false" ht="23.85" hidden="false" customHeight="false" outlineLevel="0" collapsed="false">
      <c r="A8" s="4" t="s">
        <v>88</v>
      </c>
      <c r="B8" s="4" t="s">
        <v>21</v>
      </c>
      <c r="C8" s="4" t="s">
        <v>24</v>
      </c>
      <c r="D8" s="4" t="s">
        <v>89</v>
      </c>
      <c r="E8" s="4" t="s">
        <v>65</v>
      </c>
      <c r="F8" s="4" t="s">
        <v>90</v>
      </c>
      <c r="G8" s="4" t="s">
        <v>91</v>
      </c>
      <c r="H8" s="4" t="s">
        <v>92</v>
      </c>
      <c r="I8" s="7"/>
      <c r="J8" s="7" t="s">
        <v>69</v>
      </c>
      <c r="K8" s="4" t="s">
        <v>44</v>
      </c>
      <c r="L8" s="4" t="s">
        <v>93</v>
      </c>
    </row>
    <row r="9" customFormat="false" ht="23.85" hidden="false" customHeight="false" outlineLevel="0" collapsed="false">
      <c r="A9" s="4" t="s">
        <v>94</v>
      </c>
      <c r="B9" s="4" t="s">
        <v>21</v>
      </c>
      <c r="C9" s="4" t="s">
        <v>24</v>
      </c>
      <c r="D9" s="4" t="s">
        <v>95</v>
      </c>
      <c r="E9" s="4" t="s">
        <v>65</v>
      </c>
      <c r="F9" s="4" t="s">
        <v>96</v>
      </c>
      <c r="G9" s="4" t="s">
        <v>91</v>
      </c>
      <c r="H9" s="4" t="s">
        <v>97</v>
      </c>
      <c r="I9" s="7"/>
      <c r="J9" s="7" t="s">
        <v>69</v>
      </c>
      <c r="K9" s="4" t="s">
        <v>23</v>
      </c>
      <c r="L9" s="4" t="s">
        <v>98</v>
      </c>
    </row>
    <row r="10" customFormat="false" ht="23.85" hidden="false" customHeight="false" outlineLevel="0" collapsed="false">
      <c r="A10" s="4" t="s">
        <v>99</v>
      </c>
      <c r="B10" s="4" t="s">
        <v>21</v>
      </c>
      <c r="C10" s="4" t="s">
        <v>24</v>
      </c>
      <c r="D10" s="4" t="s">
        <v>100</v>
      </c>
      <c r="E10" s="4" t="s">
        <v>65</v>
      </c>
      <c r="F10" s="4" t="s">
        <v>101</v>
      </c>
      <c r="G10" s="4" t="s">
        <v>102</v>
      </c>
      <c r="H10" s="4" t="s">
        <v>103</v>
      </c>
      <c r="I10" s="7"/>
      <c r="J10" s="7" t="s">
        <v>69</v>
      </c>
      <c r="K10" s="4" t="s">
        <v>26</v>
      </c>
      <c r="L10" s="4" t="s">
        <v>104</v>
      </c>
    </row>
    <row r="11" customFormat="false" ht="15" hidden="false" customHeight="false" outlineLevel="0" collapsed="false">
      <c r="A11" s="4" t="s">
        <v>105</v>
      </c>
      <c r="B11" s="4" t="s">
        <v>21</v>
      </c>
      <c r="C11" s="4" t="s">
        <v>24</v>
      </c>
      <c r="D11" s="4" t="s">
        <v>106</v>
      </c>
      <c r="E11" s="4" t="s">
        <v>65</v>
      </c>
      <c r="F11" s="4" t="s">
        <v>107</v>
      </c>
      <c r="G11" s="4" t="s">
        <v>91</v>
      </c>
      <c r="H11" s="4" t="s">
        <v>108</v>
      </c>
      <c r="I11" s="7"/>
      <c r="J11" s="7" t="s">
        <v>69</v>
      </c>
      <c r="K11" s="4" t="s">
        <v>44</v>
      </c>
      <c r="L11" s="4" t="s">
        <v>109</v>
      </c>
    </row>
    <row r="12" customFormat="false" ht="15" hidden="false" customHeight="false" outlineLevel="0" collapsed="false">
      <c r="A12" s="4" t="s">
        <v>110</v>
      </c>
      <c r="B12" s="4" t="s">
        <v>21</v>
      </c>
      <c r="C12" s="4" t="s">
        <v>24</v>
      </c>
      <c r="D12" s="4" t="s">
        <v>111</v>
      </c>
      <c r="E12" s="4" t="s">
        <v>65</v>
      </c>
      <c r="F12" s="4" t="s">
        <v>112</v>
      </c>
      <c r="G12" s="4" t="s">
        <v>91</v>
      </c>
      <c r="H12" s="4" t="s">
        <v>113</v>
      </c>
      <c r="I12" s="7"/>
      <c r="J12" s="7" t="s">
        <v>69</v>
      </c>
      <c r="K12" s="4" t="s">
        <v>26</v>
      </c>
      <c r="L12" s="4" t="s">
        <v>114</v>
      </c>
    </row>
    <row r="13" customFormat="false" ht="15" hidden="false" customHeight="false" outlineLevel="0" collapsed="false">
      <c r="A13" s="4" t="s">
        <v>115</v>
      </c>
      <c r="B13" s="4" t="s">
        <v>21</v>
      </c>
      <c r="C13" s="4" t="s">
        <v>24</v>
      </c>
      <c r="D13" s="4" t="s">
        <v>116</v>
      </c>
      <c r="E13" s="4" t="s">
        <v>65</v>
      </c>
      <c r="F13" s="4" t="s">
        <v>117</v>
      </c>
      <c r="G13" s="4" t="s">
        <v>91</v>
      </c>
      <c r="H13" s="4" t="s">
        <v>118</v>
      </c>
      <c r="I13" s="7"/>
      <c r="J13" s="7" t="s">
        <v>69</v>
      </c>
      <c r="K13" s="4" t="s">
        <v>44</v>
      </c>
      <c r="L13" s="4" t="s">
        <v>119</v>
      </c>
    </row>
    <row r="14" customFormat="false" ht="15" hidden="false" customHeight="false" outlineLevel="0" collapsed="false">
      <c r="A14" s="4" t="s">
        <v>120</v>
      </c>
      <c r="B14" s="4" t="s">
        <v>21</v>
      </c>
      <c r="C14" s="4" t="s">
        <v>27</v>
      </c>
      <c r="D14" s="4" t="s">
        <v>121</v>
      </c>
      <c r="E14" s="4" t="s">
        <v>122</v>
      </c>
      <c r="F14" s="4" t="s">
        <v>123</v>
      </c>
      <c r="G14" s="4" t="s">
        <v>91</v>
      </c>
      <c r="H14" s="4" t="s">
        <v>124</v>
      </c>
      <c r="I14" s="7"/>
      <c r="J14" s="7" t="s">
        <v>69</v>
      </c>
      <c r="K14" s="4" t="s">
        <v>23</v>
      </c>
      <c r="L14" s="4" t="s">
        <v>125</v>
      </c>
    </row>
    <row r="15" customFormat="false" ht="23.85" hidden="false" customHeight="false" outlineLevel="0" collapsed="false">
      <c r="A15" s="4" t="s">
        <v>126</v>
      </c>
      <c r="B15" s="4" t="s">
        <v>30</v>
      </c>
      <c r="C15" s="4" t="s">
        <v>29</v>
      </c>
      <c r="D15" s="4" t="s">
        <v>127</v>
      </c>
      <c r="E15" s="4" t="s">
        <v>122</v>
      </c>
      <c r="F15" s="4" t="s">
        <v>128</v>
      </c>
      <c r="G15" s="4" t="s">
        <v>91</v>
      </c>
      <c r="H15" s="4" t="s">
        <v>129</v>
      </c>
      <c r="I15" s="7"/>
      <c r="J15" s="7" t="s">
        <v>69</v>
      </c>
      <c r="K15" s="4" t="s">
        <v>23</v>
      </c>
      <c r="L15" s="4" t="s">
        <v>130</v>
      </c>
    </row>
    <row r="16" customFormat="false" ht="46.25" hidden="false" customHeight="false" outlineLevel="0" collapsed="false">
      <c r="A16" s="4" t="s">
        <v>131</v>
      </c>
      <c r="B16" s="4" t="s">
        <v>30</v>
      </c>
      <c r="C16" s="4" t="s">
        <v>29</v>
      </c>
      <c r="D16" s="4" t="s">
        <v>132</v>
      </c>
      <c r="E16" s="4" t="s">
        <v>133</v>
      </c>
      <c r="F16" s="4" t="s">
        <v>134</v>
      </c>
      <c r="G16" s="4" t="s">
        <v>135</v>
      </c>
      <c r="H16" s="4" t="s">
        <v>136</v>
      </c>
      <c r="I16" s="7"/>
      <c r="J16" s="7" t="s">
        <v>69</v>
      </c>
      <c r="K16" s="4" t="s">
        <v>23</v>
      </c>
      <c r="L16" s="4" t="s">
        <v>137</v>
      </c>
    </row>
    <row r="17" customFormat="false" ht="23.85" hidden="false" customHeight="false" outlineLevel="0" collapsed="false">
      <c r="A17" s="4" t="s">
        <v>138</v>
      </c>
      <c r="B17" s="4" t="s">
        <v>30</v>
      </c>
      <c r="C17" s="4" t="s">
        <v>29</v>
      </c>
      <c r="D17" s="4" t="s">
        <v>139</v>
      </c>
      <c r="E17" s="4" t="s">
        <v>122</v>
      </c>
      <c r="F17" s="4" t="s">
        <v>140</v>
      </c>
      <c r="G17" s="4" t="s">
        <v>141</v>
      </c>
      <c r="H17" s="4" t="s">
        <v>142</v>
      </c>
      <c r="I17" s="7"/>
      <c r="J17" s="7" t="s">
        <v>69</v>
      </c>
      <c r="K17" s="4" t="s">
        <v>23</v>
      </c>
      <c r="L17" s="4" t="s">
        <v>143</v>
      </c>
    </row>
    <row r="18" customFormat="false" ht="23.85" hidden="false" customHeight="false" outlineLevel="0" collapsed="false">
      <c r="A18" s="4" t="s">
        <v>144</v>
      </c>
      <c r="B18" s="4" t="s">
        <v>30</v>
      </c>
      <c r="C18" s="4" t="s">
        <v>29</v>
      </c>
      <c r="D18" s="4" t="s">
        <v>145</v>
      </c>
      <c r="E18" s="4" t="s">
        <v>122</v>
      </c>
      <c r="F18" s="4" t="s">
        <v>146</v>
      </c>
      <c r="G18" s="4" t="s">
        <v>147</v>
      </c>
      <c r="H18" s="4" t="s">
        <v>148</v>
      </c>
      <c r="I18" s="7"/>
      <c r="J18" s="7" t="s">
        <v>69</v>
      </c>
      <c r="K18" s="4" t="s">
        <v>23</v>
      </c>
      <c r="L18" s="4" t="s">
        <v>149</v>
      </c>
    </row>
    <row r="19" customFormat="false" ht="23.85" hidden="false" customHeight="false" outlineLevel="0" collapsed="false">
      <c r="A19" s="4" t="s">
        <v>150</v>
      </c>
      <c r="B19" s="4" t="s">
        <v>30</v>
      </c>
      <c r="C19" s="4" t="s">
        <v>32</v>
      </c>
      <c r="D19" s="4" t="s">
        <v>151</v>
      </c>
      <c r="E19" s="4" t="s">
        <v>133</v>
      </c>
      <c r="F19" s="4" t="s">
        <v>152</v>
      </c>
      <c r="G19" s="4" t="s">
        <v>91</v>
      </c>
      <c r="H19" s="4" t="s">
        <v>153</v>
      </c>
      <c r="I19" s="7"/>
      <c r="J19" s="7" t="s">
        <v>69</v>
      </c>
      <c r="K19" s="4" t="s">
        <v>23</v>
      </c>
      <c r="L19" s="4" t="s">
        <v>154</v>
      </c>
    </row>
    <row r="20" customFormat="false" ht="35.05" hidden="false" customHeight="false" outlineLevel="0" collapsed="false">
      <c r="A20" s="4" t="s">
        <v>155</v>
      </c>
      <c r="B20" s="4" t="s">
        <v>30</v>
      </c>
      <c r="C20" s="4" t="s">
        <v>32</v>
      </c>
      <c r="D20" s="4" t="s">
        <v>156</v>
      </c>
      <c r="E20" s="4" t="s">
        <v>133</v>
      </c>
      <c r="F20" s="4" t="s">
        <v>157</v>
      </c>
      <c r="G20" s="4" t="s">
        <v>158</v>
      </c>
      <c r="H20" s="4" t="s">
        <v>159</v>
      </c>
      <c r="I20" s="7"/>
      <c r="J20" s="7" t="s">
        <v>69</v>
      </c>
      <c r="K20" s="4" t="s">
        <v>23</v>
      </c>
      <c r="L20" s="4" t="s">
        <v>160</v>
      </c>
    </row>
    <row r="21" customFormat="false" ht="23.85" hidden="false" customHeight="false" outlineLevel="0" collapsed="false">
      <c r="A21" s="4" t="s">
        <v>161</v>
      </c>
      <c r="B21" s="4" t="s">
        <v>30</v>
      </c>
      <c r="C21" s="4" t="s">
        <v>32</v>
      </c>
      <c r="D21" s="4" t="s">
        <v>162</v>
      </c>
      <c r="E21" s="4" t="s">
        <v>133</v>
      </c>
      <c r="F21" s="4" t="s">
        <v>163</v>
      </c>
      <c r="G21" s="4" t="s">
        <v>164</v>
      </c>
      <c r="H21" s="4" t="s">
        <v>165</v>
      </c>
      <c r="I21" s="7"/>
      <c r="J21" s="7" t="s">
        <v>69</v>
      </c>
      <c r="K21" s="4" t="s">
        <v>23</v>
      </c>
      <c r="L21" s="4" t="s">
        <v>166</v>
      </c>
    </row>
    <row r="22" customFormat="false" ht="23.85" hidden="false" customHeight="false" outlineLevel="0" collapsed="false">
      <c r="A22" s="4" t="s">
        <v>167</v>
      </c>
      <c r="B22" s="4" t="s">
        <v>30</v>
      </c>
      <c r="C22" s="4" t="s">
        <v>32</v>
      </c>
      <c r="D22" s="4" t="s">
        <v>168</v>
      </c>
      <c r="E22" s="4" t="s">
        <v>133</v>
      </c>
      <c r="F22" s="4" t="s">
        <v>169</v>
      </c>
      <c r="G22" s="4" t="s">
        <v>170</v>
      </c>
      <c r="H22" s="4" t="s">
        <v>171</v>
      </c>
      <c r="I22" s="7"/>
      <c r="J22" s="7" t="s">
        <v>69</v>
      </c>
      <c r="K22" s="4" t="s">
        <v>26</v>
      </c>
      <c r="L22" s="4" t="s">
        <v>143</v>
      </c>
    </row>
    <row r="23" customFormat="false" ht="23.85" hidden="false" customHeight="false" outlineLevel="0" collapsed="false">
      <c r="A23" s="4" t="s">
        <v>172</v>
      </c>
      <c r="B23" s="4" t="s">
        <v>30</v>
      </c>
      <c r="C23" s="4" t="s">
        <v>32</v>
      </c>
      <c r="D23" s="4" t="s">
        <v>173</v>
      </c>
      <c r="E23" s="4" t="s">
        <v>133</v>
      </c>
      <c r="F23" s="4" t="s">
        <v>174</v>
      </c>
      <c r="G23" s="4" t="s">
        <v>175</v>
      </c>
      <c r="H23" s="4" t="s">
        <v>176</v>
      </c>
      <c r="I23" s="7"/>
      <c r="J23" s="7" t="s">
        <v>69</v>
      </c>
      <c r="K23" s="4" t="s">
        <v>44</v>
      </c>
      <c r="L23" s="4" t="s">
        <v>177</v>
      </c>
    </row>
    <row r="24" customFormat="false" ht="23.85" hidden="false" customHeight="false" outlineLevel="0" collapsed="false">
      <c r="A24" s="4" t="s">
        <v>178</v>
      </c>
      <c r="B24" s="4" t="s">
        <v>30</v>
      </c>
      <c r="C24" s="4" t="s">
        <v>34</v>
      </c>
      <c r="D24" s="4" t="s">
        <v>179</v>
      </c>
      <c r="E24" s="4" t="s">
        <v>133</v>
      </c>
      <c r="F24" s="4" t="s">
        <v>180</v>
      </c>
      <c r="G24" s="4" t="s">
        <v>91</v>
      </c>
      <c r="H24" s="4" t="s">
        <v>181</v>
      </c>
      <c r="I24" s="7"/>
      <c r="J24" s="7" t="s">
        <v>69</v>
      </c>
      <c r="K24" s="4" t="s">
        <v>44</v>
      </c>
      <c r="L24" s="4" t="s">
        <v>182</v>
      </c>
    </row>
    <row r="25" customFormat="false" ht="23.85" hidden="false" customHeight="false" outlineLevel="0" collapsed="false">
      <c r="A25" s="4" t="s">
        <v>183</v>
      </c>
      <c r="B25" s="4" t="s">
        <v>30</v>
      </c>
      <c r="C25" s="4" t="s">
        <v>34</v>
      </c>
      <c r="D25" s="4" t="s">
        <v>184</v>
      </c>
      <c r="E25" s="4" t="s">
        <v>133</v>
      </c>
      <c r="F25" s="4" t="s">
        <v>185</v>
      </c>
      <c r="G25" s="4" t="s">
        <v>186</v>
      </c>
      <c r="H25" s="4" t="s">
        <v>187</v>
      </c>
      <c r="I25" s="7"/>
      <c r="J25" s="7" t="s">
        <v>69</v>
      </c>
      <c r="K25" s="4" t="s">
        <v>26</v>
      </c>
      <c r="L25" s="4" t="s">
        <v>188</v>
      </c>
    </row>
    <row r="26" customFormat="false" ht="23.85" hidden="false" customHeight="false" outlineLevel="0" collapsed="false">
      <c r="A26" s="4" t="s">
        <v>189</v>
      </c>
      <c r="B26" s="4" t="s">
        <v>30</v>
      </c>
      <c r="C26" s="4" t="s">
        <v>34</v>
      </c>
      <c r="D26" s="4" t="s">
        <v>190</v>
      </c>
      <c r="E26" s="4" t="s">
        <v>133</v>
      </c>
      <c r="F26" s="4" t="s">
        <v>191</v>
      </c>
      <c r="G26" s="4" t="s">
        <v>91</v>
      </c>
      <c r="H26" s="4" t="s">
        <v>192</v>
      </c>
      <c r="I26" s="7"/>
      <c r="J26" s="7" t="s">
        <v>69</v>
      </c>
      <c r="K26" s="4" t="s">
        <v>26</v>
      </c>
      <c r="L26" s="4" t="s">
        <v>193</v>
      </c>
    </row>
    <row r="27" customFormat="false" ht="23.85" hidden="false" customHeight="false" outlineLevel="0" collapsed="false">
      <c r="A27" s="4" t="s">
        <v>194</v>
      </c>
      <c r="B27" s="4" t="s">
        <v>30</v>
      </c>
      <c r="C27" s="4" t="s">
        <v>34</v>
      </c>
      <c r="D27" s="4" t="s">
        <v>195</v>
      </c>
      <c r="E27" s="4" t="s">
        <v>133</v>
      </c>
      <c r="F27" s="4" t="s">
        <v>196</v>
      </c>
      <c r="G27" s="4" t="s">
        <v>91</v>
      </c>
      <c r="H27" s="4" t="s">
        <v>197</v>
      </c>
      <c r="I27" s="7"/>
      <c r="J27" s="7" t="s">
        <v>69</v>
      </c>
      <c r="K27" s="4" t="s">
        <v>44</v>
      </c>
      <c r="L27" s="4" t="s">
        <v>198</v>
      </c>
    </row>
    <row r="28" customFormat="false" ht="23.85" hidden="false" customHeight="false" outlineLevel="0" collapsed="false">
      <c r="A28" s="4" t="s">
        <v>199</v>
      </c>
      <c r="B28" s="4" t="s">
        <v>30</v>
      </c>
      <c r="C28" s="4" t="s">
        <v>34</v>
      </c>
      <c r="D28" s="4" t="s">
        <v>200</v>
      </c>
      <c r="E28" s="4" t="s">
        <v>133</v>
      </c>
      <c r="F28" s="4" t="s">
        <v>201</v>
      </c>
      <c r="G28" s="4" t="s">
        <v>91</v>
      </c>
      <c r="H28" s="4" t="s">
        <v>202</v>
      </c>
      <c r="I28" s="7"/>
      <c r="J28" s="7" t="s">
        <v>69</v>
      </c>
      <c r="K28" s="4" t="s">
        <v>44</v>
      </c>
      <c r="L28" s="4" t="s">
        <v>143</v>
      </c>
    </row>
    <row r="29" customFormat="false" ht="23.85" hidden="false" customHeight="false" outlineLevel="0" collapsed="false">
      <c r="A29" s="4" t="s">
        <v>203</v>
      </c>
      <c r="B29" s="4" t="s">
        <v>37</v>
      </c>
      <c r="C29" s="4" t="s">
        <v>36</v>
      </c>
      <c r="D29" s="4" t="s">
        <v>204</v>
      </c>
      <c r="E29" s="4" t="s">
        <v>122</v>
      </c>
      <c r="F29" s="4" t="s">
        <v>205</v>
      </c>
      <c r="G29" s="4" t="s">
        <v>91</v>
      </c>
      <c r="H29" s="4" t="s">
        <v>206</v>
      </c>
      <c r="I29" s="7"/>
      <c r="J29" s="7" t="s">
        <v>69</v>
      </c>
      <c r="K29" s="4" t="s">
        <v>23</v>
      </c>
      <c r="L29" s="4" t="s">
        <v>207</v>
      </c>
    </row>
    <row r="30" customFormat="false" ht="23.85" hidden="false" customHeight="false" outlineLevel="0" collapsed="false">
      <c r="A30" s="4" t="s">
        <v>208</v>
      </c>
      <c r="B30" s="4" t="s">
        <v>37</v>
      </c>
      <c r="C30" s="4" t="s">
        <v>36</v>
      </c>
      <c r="D30" s="4" t="s">
        <v>209</v>
      </c>
      <c r="E30" s="4" t="s">
        <v>210</v>
      </c>
      <c r="F30" s="4" t="s">
        <v>211</v>
      </c>
      <c r="G30" s="4" t="s">
        <v>91</v>
      </c>
      <c r="H30" s="4" t="s">
        <v>212</v>
      </c>
      <c r="I30" s="7"/>
      <c r="J30" s="7" t="s">
        <v>69</v>
      </c>
      <c r="K30" s="4" t="s">
        <v>44</v>
      </c>
      <c r="L30" s="4" t="s">
        <v>213</v>
      </c>
    </row>
    <row r="31" customFormat="false" ht="23.85" hidden="false" customHeight="false" outlineLevel="0" collapsed="false">
      <c r="A31" s="4" t="s">
        <v>214</v>
      </c>
      <c r="B31" s="4" t="s">
        <v>37</v>
      </c>
      <c r="C31" s="4" t="s">
        <v>36</v>
      </c>
      <c r="D31" s="4" t="s">
        <v>215</v>
      </c>
      <c r="E31" s="4" t="s">
        <v>210</v>
      </c>
      <c r="F31" s="4" t="s">
        <v>216</v>
      </c>
      <c r="G31" s="4" t="s">
        <v>91</v>
      </c>
      <c r="H31" s="4" t="s">
        <v>217</v>
      </c>
      <c r="I31" s="7"/>
      <c r="J31" s="7" t="s">
        <v>69</v>
      </c>
      <c r="K31" s="4" t="s">
        <v>44</v>
      </c>
      <c r="L31" s="4" t="s">
        <v>218</v>
      </c>
    </row>
    <row r="32" customFormat="false" ht="23.85" hidden="false" customHeight="false" outlineLevel="0" collapsed="false">
      <c r="A32" s="4" t="s">
        <v>219</v>
      </c>
      <c r="B32" s="4" t="s">
        <v>37</v>
      </c>
      <c r="C32" s="4" t="s">
        <v>36</v>
      </c>
      <c r="D32" s="4" t="s">
        <v>220</v>
      </c>
      <c r="E32" s="4" t="s">
        <v>210</v>
      </c>
      <c r="F32" s="4" t="s">
        <v>221</v>
      </c>
      <c r="G32" s="4" t="s">
        <v>222</v>
      </c>
      <c r="H32" s="4" t="s">
        <v>223</v>
      </c>
      <c r="I32" s="7"/>
      <c r="J32" s="7" t="s">
        <v>69</v>
      </c>
      <c r="K32" s="4" t="s">
        <v>23</v>
      </c>
      <c r="L32" s="4" t="s">
        <v>224</v>
      </c>
    </row>
    <row r="33" customFormat="false" ht="23.85" hidden="false" customHeight="false" outlineLevel="0" collapsed="false">
      <c r="A33" s="4" t="s">
        <v>225</v>
      </c>
      <c r="B33" s="4" t="s">
        <v>37</v>
      </c>
      <c r="C33" s="4" t="s">
        <v>36</v>
      </c>
      <c r="D33" s="4" t="s">
        <v>226</v>
      </c>
      <c r="E33" s="4" t="s">
        <v>210</v>
      </c>
      <c r="F33" s="4" t="s">
        <v>227</v>
      </c>
      <c r="G33" s="4" t="s">
        <v>228</v>
      </c>
      <c r="H33" s="4" t="s">
        <v>229</v>
      </c>
      <c r="I33" s="7"/>
      <c r="J33" s="7" t="s">
        <v>69</v>
      </c>
      <c r="K33" s="4" t="s">
        <v>23</v>
      </c>
      <c r="L33" s="4" t="s">
        <v>230</v>
      </c>
    </row>
    <row r="34" customFormat="false" ht="23.85" hidden="false" customHeight="false" outlineLevel="0" collapsed="false">
      <c r="A34" s="4" t="s">
        <v>231</v>
      </c>
      <c r="B34" s="4" t="s">
        <v>37</v>
      </c>
      <c r="C34" s="4" t="s">
        <v>36</v>
      </c>
      <c r="D34" s="4" t="s">
        <v>232</v>
      </c>
      <c r="E34" s="4" t="s">
        <v>210</v>
      </c>
      <c r="F34" s="4" t="s">
        <v>233</v>
      </c>
      <c r="G34" s="4" t="s">
        <v>234</v>
      </c>
      <c r="H34" s="4" t="s">
        <v>235</v>
      </c>
      <c r="I34" s="7"/>
      <c r="J34" s="7" t="s">
        <v>69</v>
      </c>
      <c r="K34" s="4" t="s">
        <v>26</v>
      </c>
      <c r="L34" s="4" t="s">
        <v>236</v>
      </c>
    </row>
    <row r="35" customFormat="false" ht="23.85" hidden="false" customHeight="false" outlineLevel="0" collapsed="false">
      <c r="A35" s="4" t="s">
        <v>237</v>
      </c>
      <c r="B35" s="4" t="s">
        <v>37</v>
      </c>
      <c r="C35" s="4" t="s">
        <v>36</v>
      </c>
      <c r="D35" s="4" t="s">
        <v>238</v>
      </c>
      <c r="E35" s="4" t="s">
        <v>210</v>
      </c>
      <c r="F35" s="4" t="s">
        <v>239</v>
      </c>
      <c r="G35" s="4" t="s">
        <v>240</v>
      </c>
      <c r="H35" s="4" t="s">
        <v>241</v>
      </c>
      <c r="I35" s="7"/>
      <c r="J35" s="7" t="s">
        <v>69</v>
      </c>
      <c r="K35" s="4" t="s">
        <v>44</v>
      </c>
      <c r="L35" s="4" t="s">
        <v>242</v>
      </c>
    </row>
    <row r="36" customFormat="false" ht="23.85" hidden="false" customHeight="false" outlineLevel="0" collapsed="false">
      <c r="A36" s="4" t="s">
        <v>243</v>
      </c>
      <c r="B36" s="4" t="s">
        <v>37</v>
      </c>
      <c r="C36" s="4" t="s">
        <v>39</v>
      </c>
      <c r="D36" s="4" t="s">
        <v>244</v>
      </c>
      <c r="E36" s="4" t="s">
        <v>210</v>
      </c>
      <c r="F36" s="4" t="s">
        <v>245</v>
      </c>
      <c r="G36" s="4" t="s">
        <v>246</v>
      </c>
      <c r="H36" s="4" t="s">
        <v>247</v>
      </c>
      <c r="I36" s="7"/>
      <c r="J36" s="7" t="s">
        <v>69</v>
      </c>
      <c r="K36" s="4" t="s">
        <v>44</v>
      </c>
      <c r="L36" s="4" t="s">
        <v>248</v>
      </c>
    </row>
    <row r="37" customFormat="false" ht="23.85" hidden="false" customHeight="false" outlineLevel="0" collapsed="false">
      <c r="A37" s="4" t="s">
        <v>249</v>
      </c>
      <c r="B37" s="4" t="s">
        <v>37</v>
      </c>
      <c r="C37" s="4" t="s">
        <v>39</v>
      </c>
      <c r="D37" s="4" t="s">
        <v>250</v>
      </c>
      <c r="E37" s="4" t="s">
        <v>210</v>
      </c>
      <c r="F37" s="4" t="s">
        <v>251</v>
      </c>
      <c r="G37" s="4" t="s">
        <v>91</v>
      </c>
      <c r="H37" s="4" t="s">
        <v>252</v>
      </c>
      <c r="I37" s="7"/>
      <c r="J37" s="7" t="s">
        <v>69</v>
      </c>
      <c r="K37" s="4" t="s">
        <v>26</v>
      </c>
      <c r="L37" s="4" t="s">
        <v>253</v>
      </c>
    </row>
    <row r="38" customFormat="false" ht="23.85" hidden="false" customHeight="false" outlineLevel="0" collapsed="false">
      <c r="A38" s="4" t="s">
        <v>254</v>
      </c>
      <c r="B38" s="4" t="s">
        <v>37</v>
      </c>
      <c r="C38" s="4" t="s">
        <v>39</v>
      </c>
      <c r="D38" s="4" t="s">
        <v>255</v>
      </c>
      <c r="E38" s="4" t="s">
        <v>210</v>
      </c>
      <c r="F38" s="4" t="s">
        <v>256</v>
      </c>
      <c r="G38" s="4" t="s">
        <v>91</v>
      </c>
      <c r="H38" s="4" t="s">
        <v>129</v>
      </c>
      <c r="I38" s="7"/>
      <c r="J38" s="7" t="s">
        <v>69</v>
      </c>
      <c r="K38" s="4" t="s">
        <v>44</v>
      </c>
      <c r="L38" s="4" t="s">
        <v>257</v>
      </c>
    </row>
    <row r="39" customFormat="false" ht="23.85" hidden="false" customHeight="false" outlineLevel="0" collapsed="false">
      <c r="A39" s="4" t="s">
        <v>258</v>
      </c>
      <c r="B39" s="4" t="s">
        <v>37</v>
      </c>
      <c r="C39" s="4" t="s">
        <v>39</v>
      </c>
      <c r="D39" s="4" t="s">
        <v>259</v>
      </c>
      <c r="E39" s="4" t="s">
        <v>210</v>
      </c>
      <c r="F39" s="4" t="s">
        <v>260</v>
      </c>
      <c r="G39" s="4" t="s">
        <v>91</v>
      </c>
      <c r="H39" s="4" t="s">
        <v>261</v>
      </c>
      <c r="I39" s="7"/>
      <c r="J39" s="7" t="s">
        <v>69</v>
      </c>
      <c r="K39" s="4" t="s">
        <v>23</v>
      </c>
      <c r="L39" s="4" t="s">
        <v>262</v>
      </c>
    </row>
    <row r="40" customFormat="false" ht="23.85" hidden="false" customHeight="false" outlineLevel="0" collapsed="false">
      <c r="A40" s="4" t="s">
        <v>263</v>
      </c>
      <c r="B40" s="4" t="s">
        <v>42</v>
      </c>
      <c r="C40" s="4" t="s">
        <v>41</v>
      </c>
      <c r="D40" s="4" t="s">
        <v>264</v>
      </c>
      <c r="E40" s="4" t="s">
        <v>122</v>
      </c>
      <c r="F40" s="4" t="s">
        <v>265</v>
      </c>
      <c r="G40" s="4" t="s">
        <v>91</v>
      </c>
      <c r="H40" s="4" t="s">
        <v>266</v>
      </c>
      <c r="I40" s="7"/>
      <c r="J40" s="7" t="s">
        <v>69</v>
      </c>
      <c r="K40" s="4" t="s">
        <v>44</v>
      </c>
      <c r="L40" s="4" t="s">
        <v>267</v>
      </c>
    </row>
    <row r="41" customFormat="false" ht="23.85" hidden="false" customHeight="false" outlineLevel="0" collapsed="false">
      <c r="A41" s="4" t="s">
        <v>268</v>
      </c>
      <c r="B41" s="4" t="s">
        <v>42</v>
      </c>
      <c r="C41" s="4" t="s">
        <v>41</v>
      </c>
      <c r="D41" s="4" t="s">
        <v>269</v>
      </c>
      <c r="E41" s="4" t="s">
        <v>122</v>
      </c>
      <c r="F41" s="4" t="s">
        <v>270</v>
      </c>
      <c r="G41" s="4" t="s">
        <v>91</v>
      </c>
      <c r="H41" s="4" t="s">
        <v>271</v>
      </c>
      <c r="I41" s="7"/>
      <c r="J41" s="7" t="s">
        <v>69</v>
      </c>
      <c r="K41" s="4" t="s">
        <v>44</v>
      </c>
      <c r="L41" s="4" t="s">
        <v>272</v>
      </c>
    </row>
    <row r="42" customFormat="false" ht="35.05" hidden="false" customHeight="false" outlineLevel="0" collapsed="false">
      <c r="A42" s="4" t="s">
        <v>273</v>
      </c>
      <c r="B42" s="4" t="s">
        <v>42</v>
      </c>
      <c r="C42" s="4" t="s">
        <v>41</v>
      </c>
      <c r="D42" s="4" t="s">
        <v>274</v>
      </c>
      <c r="E42" s="4" t="s">
        <v>122</v>
      </c>
      <c r="F42" s="4" t="s">
        <v>275</v>
      </c>
      <c r="G42" s="4" t="s">
        <v>91</v>
      </c>
      <c r="H42" s="4" t="s">
        <v>276</v>
      </c>
      <c r="I42" s="7"/>
      <c r="J42" s="7" t="s">
        <v>69</v>
      </c>
      <c r="K42" s="4" t="s">
        <v>26</v>
      </c>
      <c r="L42" s="4" t="s">
        <v>277</v>
      </c>
    </row>
    <row r="43" customFormat="false" ht="23.85" hidden="false" customHeight="false" outlineLevel="0" collapsed="false">
      <c r="A43" s="4" t="s">
        <v>278</v>
      </c>
      <c r="B43" s="4" t="s">
        <v>42</v>
      </c>
      <c r="C43" s="4" t="s">
        <v>41</v>
      </c>
      <c r="D43" s="4" t="s">
        <v>279</v>
      </c>
      <c r="E43" s="4" t="s">
        <v>122</v>
      </c>
      <c r="F43" s="4" t="s">
        <v>280</v>
      </c>
      <c r="G43" s="4" t="s">
        <v>281</v>
      </c>
      <c r="H43" s="4" t="s">
        <v>282</v>
      </c>
      <c r="I43" s="7"/>
      <c r="J43" s="7" t="s">
        <v>69</v>
      </c>
      <c r="K43" s="4" t="s">
        <v>26</v>
      </c>
      <c r="L43" s="4" t="s">
        <v>283</v>
      </c>
    </row>
    <row r="44" customFormat="false" ht="23.85" hidden="false" customHeight="false" outlineLevel="0" collapsed="false">
      <c r="A44" s="4" t="s">
        <v>284</v>
      </c>
      <c r="B44" s="4" t="s">
        <v>42</v>
      </c>
      <c r="C44" s="4" t="s">
        <v>41</v>
      </c>
      <c r="D44" s="4" t="s">
        <v>285</v>
      </c>
      <c r="E44" s="4" t="s">
        <v>122</v>
      </c>
      <c r="F44" s="4" t="s">
        <v>286</v>
      </c>
      <c r="G44" s="4" t="s">
        <v>91</v>
      </c>
      <c r="H44" s="4" t="s">
        <v>287</v>
      </c>
      <c r="I44" s="7"/>
      <c r="J44" s="7" t="s">
        <v>69</v>
      </c>
      <c r="K44" s="4" t="s">
        <v>44</v>
      </c>
      <c r="L44" s="4" t="s">
        <v>288</v>
      </c>
    </row>
    <row r="45" customFormat="false" ht="23.85" hidden="false" customHeight="false" outlineLevel="0" collapsed="false">
      <c r="A45" s="4" t="s">
        <v>289</v>
      </c>
      <c r="B45" s="4" t="s">
        <v>42</v>
      </c>
      <c r="C45" s="4" t="s">
        <v>45</v>
      </c>
      <c r="D45" s="4" t="s">
        <v>290</v>
      </c>
      <c r="E45" s="4" t="s">
        <v>122</v>
      </c>
      <c r="F45" s="4" t="s">
        <v>291</v>
      </c>
      <c r="G45" s="4" t="s">
        <v>91</v>
      </c>
      <c r="H45" s="4" t="s">
        <v>292</v>
      </c>
      <c r="I45" s="7"/>
      <c r="J45" s="7" t="s">
        <v>69</v>
      </c>
      <c r="K45" s="4" t="s">
        <v>44</v>
      </c>
      <c r="L45" s="4" t="s">
        <v>293</v>
      </c>
    </row>
    <row r="46" customFormat="false" ht="23.85" hidden="false" customHeight="false" outlineLevel="0" collapsed="false">
      <c r="A46" s="4" t="s">
        <v>294</v>
      </c>
      <c r="B46" s="4" t="s">
        <v>42</v>
      </c>
      <c r="C46" s="4" t="s">
        <v>45</v>
      </c>
      <c r="D46" s="4" t="s">
        <v>295</v>
      </c>
      <c r="E46" s="4" t="s">
        <v>122</v>
      </c>
      <c r="F46" s="4" t="s">
        <v>296</v>
      </c>
      <c r="G46" s="4" t="s">
        <v>91</v>
      </c>
      <c r="H46" s="4" t="s">
        <v>297</v>
      </c>
      <c r="I46" s="7"/>
      <c r="J46" s="7" t="s">
        <v>69</v>
      </c>
      <c r="K46" s="4" t="s">
        <v>44</v>
      </c>
      <c r="L46" s="4" t="s">
        <v>298</v>
      </c>
    </row>
    <row r="47" customFormat="false" ht="35.05" hidden="false" customHeight="false" outlineLevel="0" collapsed="false">
      <c r="A47" s="4" t="s">
        <v>299</v>
      </c>
      <c r="B47" s="4" t="s">
        <v>42</v>
      </c>
      <c r="C47" s="4" t="s">
        <v>45</v>
      </c>
      <c r="D47" s="4" t="s">
        <v>300</v>
      </c>
      <c r="E47" s="4" t="s">
        <v>122</v>
      </c>
      <c r="F47" s="4" t="s">
        <v>301</v>
      </c>
      <c r="G47" s="4" t="s">
        <v>91</v>
      </c>
      <c r="H47" s="4" t="s">
        <v>302</v>
      </c>
      <c r="I47" s="7"/>
      <c r="J47" s="7" t="s">
        <v>69</v>
      </c>
      <c r="K47" s="4" t="s">
        <v>26</v>
      </c>
      <c r="L47" s="4" t="s">
        <v>303</v>
      </c>
    </row>
    <row r="48" customFormat="false" ht="35.05" hidden="false" customHeight="false" outlineLevel="0" collapsed="false">
      <c r="A48" s="4" t="s">
        <v>304</v>
      </c>
      <c r="B48" s="4" t="s">
        <v>42</v>
      </c>
      <c r="C48" s="4" t="s">
        <v>45</v>
      </c>
      <c r="D48" s="4" t="s">
        <v>305</v>
      </c>
      <c r="E48" s="4" t="s">
        <v>122</v>
      </c>
      <c r="F48" s="4" t="s">
        <v>306</v>
      </c>
      <c r="G48" s="4" t="s">
        <v>307</v>
      </c>
      <c r="H48" s="4" t="s">
        <v>308</v>
      </c>
      <c r="I48" s="7"/>
      <c r="J48" s="7" t="s">
        <v>69</v>
      </c>
      <c r="K48" s="4" t="s">
        <v>26</v>
      </c>
      <c r="L48" s="4" t="s">
        <v>309</v>
      </c>
    </row>
    <row r="49" customFormat="false" ht="23.85" hidden="false" customHeight="false" outlineLevel="0" collapsed="false">
      <c r="A49" s="4" t="s">
        <v>310</v>
      </c>
      <c r="B49" s="4" t="s">
        <v>42</v>
      </c>
      <c r="C49" s="4" t="s">
        <v>45</v>
      </c>
      <c r="D49" s="4" t="s">
        <v>311</v>
      </c>
      <c r="E49" s="4" t="s">
        <v>122</v>
      </c>
      <c r="F49" s="4" t="s">
        <v>312</v>
      </c>
      <c r="G49" s="4" t="s">
        <v>91</v>
      </c>
      <c r="H49" s="4" t="s">
        <v>313</v>
      </c>
      <c r="I49" s="7"/>
      <c r="J49" s="7" t="s">
        <v>69</v>
      </c>
      <c r="K49" s="4" t="s">
        <v>26</v>
      </c>
      <c r="L49" s="4" t="s">
        <v>314</v>
      </c>
    </row>
    <row r="50" customFormat="false" ht="23.85" hidden="false" customHeight="false" outlineLevel="0" collapsed="false">
      <c r="A50" s="4" t="s">
        <v>315</v>
      </c>
      <c r="B50" s="4" t="s">
        <v>42</v>
      </c>
      <c r="C50" s="4" t="s">
        <v>47</v>
      </c>
      <c r="D50" s="4" t="s">
        <v>316</v>
      </c>
      <c r="E50" s="4" t="s">
        <v>122</v>
      </c>
      <c r="F50" s="4" t="s">
        <v>317</v>
      </c>
      <c r="G50" s="4" t="s">
        <v>91</v>
      </c>
      <c r="H50" s="4" t="s">
        <v>318</v>
      </c>
      <c r="I50" s="7"/>
      <c r="J50" s="7" t="s">
        <v>69</v>
      </c>
      <c r="K50" s="4" t="s">
        <v>44</v>
      </c>
      <c r="L50" s="4" t="s">
        <v>319</v>
      </c>
    </row>
    <row r="51" customFormat="false" ht="23.85" hidden="false" customHeight="false" outlineLevel="0" collapsed="false">
      <c r="A51" s="4" t="s">
        <v>320</v>
      </c>
      <c r="B51" s="4" t="s">
        <v>42</v>
      </c>
      <c r="C51" s="4" t="s">
        <v>47</v>
      </c>
      <c r="D51" s="4" t="s">
        <v>321</v>
      </c>
      <c r="E51" s="4" t="s">
        <v>122</v>
      </c>
      <c r="F51" s="4" t="s">
        <v>322</v>
      </c>
      <c r="G51" s="4" t="s">
        <v>323</v>
      </c>
      <c r="H51" s="4" t="s">
        <v>324</v>
      </c>
      <c r="I51" s="7"/>
      <c r="J51" s="7" t="s">
        <v>69</v>
      </c>
      <c r="K51" s="4" t="s">
        <v>26</v>
      </c>
      <c r="L51" s="4" t="s">
        <v>143</v>
      </c>
    </row>
    <row r="52" customFormat="false" ht="23.85" hidden="false" customHeight="false" outlineLevel="0" collapsed="false">
      <c r="A52" s="4" t="s">
        <v>325</v>
      </c>
      <c r="B52" s="4" t="s">
        <v>50</v>
      </c>
      <c r="C52" s="4" t="s">
        <v>49</v>
      </c>
      <c r="D52" s="4" t="s">
        <v>326</v>
      </c>
      <c r="E52" s="4" t="s">
        <v>122</v>
      </c>
      <c r="F52" s="4" t="s">
        <v>327</v>
      </c>
      <c r="G52" s="4" t="s">
        <v>91</v>
      </c>
      <c r="H52" s="4" t="s">
        <v>328</v>
      </c>
      <c r="I52" s="7"/>
      <c r="J52" s="7" t="s">
        <v>69</v>
      </c>
      <c r="K52" s="4" t="s">
        <v>26</v>
      </c>
      <c r="L52" s="4" t="s">
        <v>143</v>
      </c>
    </row>
    <row r="53" customFormat="false" ht="35.05" hidden="false" customHeight="false" outlineLevel="0" collapsed="false">
      <c r="A53" s="4" t="s">
        <v>329</v>
      </c>
      <c r="B53" s="4" t="s">
        <v>50</v>
      </c>
      <c r="C53" s="4" t="s">
        <v>49</v>
      </c>
      <c r="D53" s="4" t="s">
        <v>330</v>
      </c>
      <c r="E53" s="4" t="s">
        <v>122</v>
      </c>
      <c r="F53" s="4" t="s">
        <v>331</v>
      </c>
      <c r="G53" s="4" t="s">
        <v>332</v>
      </c>
      <c r="H53" s="4" t="s">
        <v>333</v>
      </c>
      <c r="I53" s="7"/>
      <c r="J53" s="7" t="s">
        <v>69</v>
      </c>
      <c r="K53" s="4" t="s">
        <v>26</v>
      </c>
      <c r="L53" s="4" t="s">
        <v>143</v>
      </c>
    </row>
  </sheetData>
  <autoFilter ref="A3:L53"/>
  <mergeCells count="1">
    <mergeCell ref="A2:L2"/>
  </mergeCells>
  <dataValidations count="1">
    <dataValidation allowBlank="false" errorStyle="stop" operator="between" showDropDown="false" showErrorMessage="false" showInputMessage="false" sqref="J4:J53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44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10" min="9" style="0" width="10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6" t="s">
        <v>335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26.85" hidden="false" customHeight="false" outlineLevel="0" collapsed="false">
      <c r="A3" s="3" t="s">
        <v>336</v>
      </c>
      <c r="B3" s="3" t="s">
        <v>337</v>
      </c>
      <c r="C3" s="3" t="s">
        <v>16</v>
      </c>
      <c r="D3" s="3" t="s">
        <v>338</v>
      </c>
      <c r="E3" s="3" t="s">
        <v>18</v>
      </c>
      <c r="F3" s="3" t="s">
        <v>339</v>
      </c>
      <c r="G3" s="3" t="s">
        <v>59</v>
      </c>
      <c r="H3" s="3" t="s">
        <v>60</v>
      </c>
      <c r="I3" s="3" t="s">
        <v>340</v>
      </c>
      <c r="J3" s="3" t="s">
        <v>61</v>
      </c>
      <c r="K3" s="3" t="s">
        <v>341</v>
      </c>
    </row>
    <row r="4" customFormat="false" ht="68.65" hidden="false" customHeight="false" outlineLevel="0" collapsed="false">
      <c r="A4" s="4" t="s">
        <v>342</v>
      </c>
      <c r="B4" s="4" t="s">
        <v>343</v>
      </c>
      <c r="C4" s="4" t="s">
        <v>30</v>
      </c>
      <c r="D4" s="4" t="s">
        <v>344</v>
      </c>
      <c r="E4" s="4" t="s">
        <v>23</v>
      </c>
      <c r="F4" s="4" t="s">
        <v>345</v>
      </c>
      <c r="G4" s="4" t="s">
        <v>346</v>
      </c>
      <c r="H4" s="4" t="s">
        <v>347</v>
      </c>
      <c r="I4" s="4" t="s">
        <v>144</v>
      </c>
      <c r="J4" s="4" t="s">
        <v>348</v>
      </c>
      <c r="K4" s="4" t="s">
        <v>349</v>
      </c>
    </row>
    <row r="5" customFormat="false" ht="46.25" hidden="false" customHeight="false" outlineLevel="0" collapsed="false">
      <c r="A5" s="4" t="s">
        <v>350</v>
      </c>
      <c r="B5" s="4" t="s">
        <v>351</v>
      </c>
      <c r="C5" s="4" t="s">
        <v>42</v>
      </c>
      <c r="D5" s="4" t="s">
        <v>352</v>
      </c>
      <c r="E5" s="4" t="s">
        <v>26</v>
      </c>
      <c r="F5" s="4" t="s">
        <v>353</v>
      </c>
      <c r="G5" s="4" t="s">
        <v>68</v>
      </c>
      <c r="H5" s="4" t="s">
        <v>354</v>
      </c>
      <c r="I5" s="4" t="s">
        <v>268</v>
      </c>
      <c r="J5" s="4" t="s">
        <v>348</v>
      </c>
      <c r="K5" s="4" t="s">
        <v>355</v>
      </c>
    </row>
    <row r="6" customFormat="false" ht="46.25" hidden="false" customHeight="false" outlineLevel="0" collapsed="false">
      <c r="A6" s="4" t="s">
        <v>356</v>
      </c>
      <c r="B6" s="4" t="s">
        <v>357</v>
      </c>
      <c r="C6" s="4" t="s">
        <v>21</v>
      </c>
      <c r="D6" s="4" t="s">
        <v>358</v>
      </c>
      <c r="E6" s="4" t="s">
        <v>44</v>
      </c>
      <c r="F6" s="4" t="s">
        <v>359</v>
      </c>
      <c r="G6" s="4" t="s">
        <v>360</v>
      </c>
      <c r="H6" s="4" t="s">
        <v>361</v>
      </c>
      <c r="I6" s="4" t="s">
        <v>71</v>
      </c>
      <c r="J6" s="4" t="s">
        <v>348</v>
      </c>
      <c r="K6" s="4" t="s">
        <v>355</v>
      </c>
    </row>
    <row r="7" customFormat="false" ht="35.05" hidden="false" customHeight="false" outlineLevel="0" collapsed="false">
      <c r="A7" s="4" t="s">
        <v>362</v>
      </c>
      <c r="B7" s="4" t="s">
        <v>363</v>
      </c>
      <c r="C7" s="4" t="s">
        <v>30</v>
      </c>
      <c r="D7" s="4" t="s">
        <v>358</v>
      </c>
      <c r="E7" s="4" t="s">
        <v>44</v>
      </c>
      <c r="F7" s="4" t="s">
        <v>364</v>
      </c>
      <c r="G7" s="4" t="s">
        <v>365</v>
      </c>
      <c r="H7" s="4" t="s">
        <v>366</v>
      </c>
      <c r="I7" s="4" t="s">
        <v>194</v>
      </c>
      <c r="J7" s="4" t="s">
        <v>348</v>
      </c>
      <c r="K7" s="4" t="s">
        <v>355</v>
      </c>
    </row>
    <row r="8" customFormat="false" ht="46.25" hidden="false" customHeight="false" outlineLevel="0" collapsed="false">
      <c r="A8" s="4" t="s">
        <v>367</v>
      </c>
      <c r="B8" s="4" t="s">
        <v>368</v>
      </c>
      <c r="C8" s="4" t="s">
        <v>30</v>
      </c>
      <c r="D8" s="4" t="s">
        <v>358</v>
      </c>
      <c r="E8" s="4" t="s">
        <v>44</v>
      </c>
      <c r="F8" s="4" t="s">
        <v>369</v>
      </c>
      <c r="G8" s="4" t="s">
        <v>370</v>
      </c>
      <c r="H8" s="4" t="s">
        <v>371</v>
      </c>
      <c r="I8" s="4" t="s">
        <v>172</v>
      </c>
      <c r="J8" s="4" t="s">
        <v>348</v>
      </c>
      <c r="K8" s="4" t="s">
        <v>355</v>
      </c>
    </row>
    <row r="9" customFormat="false" ht="35.05" hidden="false" customHeight="false" outlineLevel="0" collapsed="false">
      <c r="A9" s="4" t="s">
        <v>372</v>
      </c>
      <c r="B9" s="4" t="s">
        <v>373</v>
      </c>
      <c r="C9" s="4" t="s">
        <v>42</v>
      </c>
      <c r="D9" s="4" t="s">
        <v>352</v>
      </c>
      <c r="E9" s="4" t="s">
        <v>44</v>
      </c>
      <c r="F9" s="4" t="s">
        <v>374</v>
      </c>
      <c r="G9" s="4" t="s">
        <v>375</v>
      </c>
      <c r="H9" s="4" t="s">
        <v>376</v>
      </c>
      <c r="I9" s="4" t="s">
        <v>315</v>
      </c>
      <c r="J9" s="4" t="s">
        <v>348</v>
      </c>
      <c r="K9" s="4" t="s">
        <v>377</v>
      </c>
    </row>
    <row r="10" customFormat="false" ht="35.05" hidden="false" customHeight="false" outlineLevel="0" collapsed="false">
      <c r="A10" s="4" t="s">
        <v>378</v>
      </c>
      <c r="B10" s="4" t="s">
        <v>379</v>
      </c>
      <c r="C10" s="4" t="s">
        <v>42</v>
      </c>
      <c r="D10" s="4" t="s">
        <v>358</v>
      </c>
      <c r="E10" s="4" t="s">
        <v>44</v>
      </c>
      <c r="F10" s="4" t="s">
        <v>380</v>
      </c>
      <c r="G10" s="4" t="s">
        <v>381</v>
      </c>
      <c r="H10" s="4" t="s">
        <v>382</v>
      </c>
      <c r="I10" s="4" t="s">
        <v>284</v>
      </c>
      <c r="J10" s="4" t="s">
        <v>348</v>
      </c>
      <c r="K10" s="4" t="s">
        <v>383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2026-09-30T16:50:59Z</dcterms:created>
  <dc:creator>openpyxl</dc:creator>
  <dc:description/>
  <dc:language>en-US</dc:language>
  <cp:lastModifiedBy/>
  <dcterms:modified xsi:type="dcterms:W3CDTF">2026-09-30T16:50:59Z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